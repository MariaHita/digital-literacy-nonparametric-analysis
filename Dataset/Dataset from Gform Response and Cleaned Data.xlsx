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Materi Kuliah\Semester 4\Statistika Non Parametrik\FP\"/>
    </mc:Choice>
  </mc:AlternateContent>
  <xr:revisionPtr revIDLastSave="0" documentId="8_{A85782AE-579B-41A0-A0EA-FEF61734C33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Form Responses 1" sheetId="1" r:id="rId1"/>
    <sheet name="Cleaned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2" l="1"/>
  <c r="I47" i="2"/>
  <c r="I46" i="2"/>
  <c r="I45" i="2"/>
  <c r="I44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J30" i="2"/>
  <c r="I30" i="2"/>
  <c r="J29" i="2"/>
  <c r="J28" i="2"/>
  <c r="B49" i="1"/>
  <c r="B48" i="1"/>
  <c r="C48" i="1" s="1"/>
  <c r="T46" i="1"/>
  <c r="O46" i="1"/>
  <c r="M46" i="1"/>
  <c r="I46" i="1"/>
  <c r="T45" i="1"/>
  <c r="O45" i="1"/>
  <c r="M45" i="1"/>
  <c r="I45" i="1"/>
  <c r="T44" i="1"/>
  <c r="O44" i="1"/>
  <c r="M44" i="1"/>
  <c r="I44" i="1"/>
  <c r="T43" i="1"/>
  <c r="O43" i="1"/>
  <c r="M43" i="1"/>
  <c r="I43" i="1"/>
  <c r="T42" i="1"/>
  <c r="O42" i="1"/>
  <c r="M42" i="1"/>
  <c r="I42" i="1"/>
  <c r="T41" i="1"/>
  <c r="O41" i="1"/>
  <c r="M41" i="1"/>
  <c r="I41" i="1"/>
  <c r="T40" i="1"/>
  <c r="O40" i="1"/>
  <c r="M40" i="1"/>
  <c r="I40" i="1"/>
  <c r="T39" i="1"/>
  <c r="O39" i="1"/>
  <c r="M39" i="1"/>
  <c r="I39" i="1"/>
  <c r="T38" i="1"/>
  <c r="O38" i="1"/>
  <c r="M38" i="1"/>
  <c r="I38" i="1"/>
  <c r="T37" i="1"/>
  <c r="O37" i="1"/>
  <c r="M37" i="1"/>
  <c r="I37" i="1"/>
  <c r="T36" i="1"/>
  <c r="O36" i="1"/>
  <c r="M36" i="1"/>
  <c r="I36" i="1"/>
  <c r="T35" i="1"/>
  <c r="O35" i="1"/>
  <c r="M35" i="1"/>
  <c r="I35" i="1"/>
  <c r="T34" i="1"/>
  <c r="O34" i="1"/>
  <c r="M34" i="1"/>
  <c r="I34" i="1"/>
  <c r="T33" i="1"/>
  <c r="O33" i="1"/>
  <c r="M33" i="1"/>
  <c r="I33" i="1"/>
  <c r="T32" i="1"/>
  <c r="O32" i="1"/>
  <c r="M32" i="1"/>
  <c r="I32" i="1"/>
  <c r="T31" i="1"/>
  <c r="O31" i="1"/>
  <c r="M31" i="1"/>
  <c r="I31" i="1"/>
  <c r="T30" i="1"/>
  <c r="O30" i="1"/>
  <c r="M30" i="1"/>
  <c r="I30" i="1"/>
  <c r="T29" i="1"/>
  <c r="O29" i="1"/>
  <c r="M29" i="1"/>
  <c r="I29" i="1"/>
  <c r="T28" i="1"/>
  <c r="O28" i="1"/>
  <c r="M28" i="1"/>
  <c r="I28" i="1"/>
  <c r="T27" i="1"/>
  <c r="O27" i="1"/>
  <c r="M27" i="1"/>
  <c r="I27" i="1"/>
  <c r="T26" i="1"/>
  <c r="O26" i="1"/>
  <c r="M26" i="1"/>
  <c r="I26" i="1"/>
  <c r="T25" i="1"/>
  <c r="O25" i="1"/>
  <c r="M25" i="1"/>
  <c r="I25" i="1"/>
  <c r="T24" i="1"/>
  <c r="O24" i="1"/>
  <c r="M24" i="1"/>
  <c r="I24" i="1"/>
  <c r="T23" i="1"/>
  <c r="O23" i="1"/>
  <c r="M23" i="1"/>
  <c r="I23" i="1"/>
  <c r="T22" i="1"/>
  <c r="O22" i="1"/>
  <c r="M22" i="1"/>
  <c r="I22" i="1"/>
  <c r="T21" i="1"/>
  <c r="O21" i="1"/>
  <c r="M21" i="1"/>
  <c r="I21" i="1"/>
  <c r="T20" i="1"/>
  <c r="O20" i="1"/>
  <c r="M20" i="1"/>
  <c r="I20" i="1"/>
  <c r="T19" i="1"/>
  <c r="O19" i="1"/>
  <c r="M19" i="1"/>
  <c r="I19" i="1"/>
  <c r="T18" i="1"/>
  <c r="O18" i="1"/>
  <c r="M18" i="1"/>
  <c r="I18" i="1"/>
  <c r="T17" i="1"/>
  <c r="O17" i="1"/>
  <c r="M17" i="1"/>
  <c r="I17" i="1"/>
  <c r="T16" i="1"/>
  <c r="O16" i="1"/>
  <c r="M16" i="1"/>
  <c r="I16" i="1"/>
  <c r="T15" i="1"/>
  <c r="O15" i="1"/>
  <c r="M15" i="1"/>
  <c r="I15" i="1"/>
  <c r="T14" i="1"/>
  <c r="O14" i="1"/>
  <c r="M14" i="1"/>
  <c r="I14" i="1"/>
  <c r="T13" i="1"/>
  <c r="O13" i="1"/>
  <c r="M13" i="1"/>
  <c r="I13" i="1"/>
  <c r="T12" i="1"/>
  <c r="O12" i="1"/>
  <c r="M12" i="1"/>
  <c r="I12" i="1"/>
  <c r="T11" i="1"/>
  <c r="O11" i="1"/>
  <c r="M11" i="1"/>
  <c r="I11" i="1"/>
  <c r="T10" i="1"/>
  <c r="O10" i="1"/>
  <c r="M10" i="1"/>
  <c r="I10" i="1"/>
  <c r="T9" i="1"/>
  <c r="O9" i="1"/>
  <c r="M9" i="1"/>
  <c r="I9" i="1"/>
  <c r="T8" i="1"/>
  <c r="O8" i="1"/>
  <c r="M8" i="1"/>
  <c r="I8" i="1"/>
  <c r="T7" i="1"/>
  <c r="O7" i="1"/>
  <c r="M7" i="1"/>
  <c r="I7" i="1"/>
  <c r="T6" i="1"/>
  <c r="O6" i="1"/>
  <c r="M6" i="1"/>
  <c r="I6" i="1"/>
  <c r="W10" i="1" s="1"/>
  <c r="T5" i="1"/>
  <c r="O5" i="1"/>
  <c r="M5" i="1"/>
  <c r="I5" i="1"/>
  <c r="T4" i="1"/>
  <c r="W18" i="1" s="1"/>
  <c r="O4" i="1"/>
  <c r="W12" i="1" s="1"/>
  <c r="M4" i="1"/>
  <c r="I4" i="1"/>
  <c r="T3" i="1"/>
  <c r="O3" i="1"/>
  <c r="M3" i="1"/>
  <c r="I3" i="1"/>
  <c r="W9" i="1" s="1"/>
  <c r="T2" i="1"/>
  <c r="W17" i="1" s="1"/>
  <c r="O2" i="1"/>
  <c r="M2" i="1"/>
  <c r="I2" i="1"/>
  <c r="W8" i="1" s="1"/>
  <c r="X16" i="1" l="1"/>
  <c r="X17" i="1"/>
  <c r="X9" i="1"/>
  <c r="X8" i="1"/>
  <c r="W4" i="1"/>
  <c r="W2" i="1"/>
  <c r="W3" i="1"/>
  <c r="W14" i="1"/>
  <c r="W16" i="1"/>
  <c r="W13" i="1"/>
  <c r="X12" i="1" l="1"/>
  <c r="X13" i="1"/>
  <c r="W5" i="1"/>
</calcChain>
</file>

<file path=xl/sharedStrings.xml><?xml version="1.0" encoding="utf-8"?>
<sst xmlns="http://schemas.openxmlformats.org/spreadsheetml/2006/main" count="179" uniqueCount="35">
  <si>
    <t>No</t>
  </si>
  <si>
    <t>Jenis Kelamin</t>
  </si>
  <si>
    <t>Semester</t>
  </si>
  <si>
    <t>Literasi Digital</t>
  </si>
  <si>
    <t>Partisipasi dalam Ekonomi Digital</t>
  </si>
  <si>
    <t>Sikap Terhadap Ekonomi Digital</t>
  </si>
  <si>
    <t>Perempuan</t>
  </si>
  <si>
    <t>Laki-laki</t>
  </si>
  <si>
    <t>Timestamp</t>
  </si>
  <si>
    <t>Saya memahami cara menggunakan aplikasi e-commerce seperti Shopee, Tokopedia, atau sejenisnya.</t>
  </si>
  <si>
    <t>Saya tahu bagaimana cara melakukan transaksi pembayaran digital dengan aman (misal melalui dompet digital atau transfer bank).</t>
  </si>
  <si>
    <t>Saya memahami risiko keamanan dalam penggunaan teknologi digital (misal phishing, penipuan online).</t>
  </si>
  <si>
    <t>Saya merasa percaya diri untuk menggunakan platform digital dalam kegiatan ekonomi.</t>
  </si>
  <si>
    <t>Saya mampu mencari informasi yang relevan dan terpercaya di internet tentang produk atau layanan yang saya butuhkan.</t>
  </si>
  <si>
    <t>Literaasi Digital</t>
  </si>
  <si>
    <t>Seberapa sering Anda membeli barang atau jasa secara online?</t>
  </si>
  <si>
    <t>Seberapa sering Anda menggunakan metode pembayaran digital (dompet digital, transfer bank online, dll)?</t>
  </si>
  <si>
    <t>Apakah Anda pernah menjual produk atau jasa secara online?</t>
  </si>
  <si>
    <t>Column 17</t>
  </si>
  <si>
    <t>Jika Ya, seberapa aktif Anda dalam berjualan online?
(jika Tidak, isi angka 1)</t>
  </si>
  <si>
    <t>Saya percaya ekonomi digital dapat membantu saya meningkatkan penghasilan.</t>
  </si>
  <si>
    <t>Saya merasa ekonomi digital memberikan kemudahan dalam kehidupan sehari-hari.</t>
  </si>
  <si>
    <t>Saya merasa penting bagi mahasiswa untuk menguasai teknologi digital agar siap menghadapi masa depan ekonomi.</t>
  </si>
  <si>
    <t>Saya tertarik untuk mempelajari lebih dalam tentang ekonomi digital dan teknologi terkait.</t>
  </si>
  <si>
    <t>Tidak</t>
  </si>
  <si>
    <t>Ya</t>
  </si>
  <si>
    <t>Min</t>
  </si>
  <si>
    <t>Di bawah median</t>
  </si>
  <si>
    <t>Max</t>
  </si>
  <si>
    <t>Di atas median</t>
  </si>
  <si>
    <t>Median</t>
  </si>
  <si>
    <t>Partisipasi Ekonomi</t>
  </si>
  <si>
    <t>Di bawah</t>
  </si>
  <si>
    <t>Di atas</t>
  </si>
  <si>
    <t>Sikap Ekonomi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</si>
</sst>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2" xfId="0" applyFont="1" applyFill="1" applyBorder="1"/>
    <xf numFmtId="0" fontId="4" fillId="0" borderId="3" xfId="0" applyFont="1" applyBorder="1"/>
  </cellXfs>
  <cellStyles count="1">
    <cellStyle name="Normal" xfId="0" builtinId="0"/>
  </cellStyles>
  <dxfs count="2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6">
    <tableStyle name="Form Responses 1-style" pivot="0" count="4" xr9:uid="{00000000-0011-0000-FFFF-FFFF00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Literasi Digital-style" pivot="0" count="4" xr9:uid="{00000000-0011-0000-FFFF-FFFF01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Partisipasi Ekonomi-style" pivot="0" count="4" xr9:uid="{00000000-0011-0000-FFFF-FFFF02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Partisipasi Ekonomi-style 2" pivot="0" count="4" xr9:uid="{00000000-0011-0000-FFFF-FFFF03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Sikap Ekonomi-style" pivot="0" count="4" xr9:uid="{00000000-0011-0000-FFFF-FFFF04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ikap Ekonomi-style 2" pivot="0" count="4" xr9:uid="{00000000-0011-0000-FFFF-FFFF05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T46">
  <tableColumns count="20">
    <tableColumn id="1" xr3:uid="{00000000-0010-0000-0000-000001000000}" name="Timestamp"/>
    <tableColumn id="2" xr3:uid="{00000000-0010-0000-0000-000002000000}" name="Jenis Kelamin"/>
    <tableColumn id="3" xr3:uid="{00000000-0010-0000-0000-000003000000}" name="Semester"/>
    <tableColumn id="4" xr3:uid="{00000000-0010-0000-0000-000004000000}" name="Saya memahami cara menggunakan aplikasi e-commerce seperti Shopee, Tokopedia, atau sejenisnya."/>
    <tableColumn id="5" xr3:uid="{00000000-0010-0000-0000-000005000000}" name="Saya tahu bagaimana cara melakukan transaksi pembayaran digital dengan aman (misal melalui dompet digital atau transfer bank)."/>
    <tableColumn id="6" xr3:uid="{00000000-0010-0000-0000-000006000000}" name="Saya memahami risiko keamanan dalam penggunaan teknologi digital (misal phishing, penipuan online)."/>
    <tableColumn id="7" xr3:uid="{00000000-0010-0000-0000-000007000000}" name="Saya merasa percaya diri untuk menggunakan platform digital dalam kegiatan ekonomi."/>
    <tableColumn id="8" xr3:uid="{00000000-0010-0000-0000-000008000000}" name="Saya mampu mencari informasi yang relevan dan terpercaya di internet tentang produk atau layanan yang saya butuhkan."/>
    <tableColumn id="9" xr3:uid="{00000000-0010-0000-0000-000009000000}" name="Literaasi Digital"/>
    <tableColumn id="10" xr3:uid="{00000000-0010-0000-0000-00000A000000}" name="Seberapa sering Anda membeli barang atau jasa secara online?"/>
    <tableColumn id="11" xr3:uid="{00000000-0010-0000-0000-00000B000000}" name="Seberapa sering Anda menggunakan metode pembayaran digital (dompet digital, transfer bank online, dll)?"/>
    <tableColumn id="12" xr3:uid="{00000000-0010-0000-0000-00000C000000}" name="Apakah Anda pernah menjual produk atau jasa secara online?"/>
    <tableColumn id="13" xr3:uid="{00000000-0010-0000-0000-00000D000000}" name="Column 17"/>
    <tableColumn id="14" xr3:uid="{00000000-0010-0000-0000-00000E000000}" name="Jika Ya, seberapa aktif Anda dalam berjualan online?_x000a_(jika Tidak, isi angka 1)"/>
    <tableColumn id="15" xr3:uid="{00000000-0010-0000-0000-00000F000000}" name="Partisipasi dalam Ekonomi Digital"/>
    <tableColumn id="16" xr3:uid="{00000000-0010-0000-0000-000010000000}" name="Saya percaya ekonomi digital dapat membantu saya meningkatkan penghasilan."/>
    <tableColumn id="17" xr3:uid="{00000000-0010-0000-0000-000011000000}" name="Saya merasa ekonomi digital memberikan kemudahan dalam kehidupan sehari-hari."/>
    <tableColumn id="18" xr3:uid="{00000000-0010-0000-0000-000012000000}" name="Saya merasa penting bagi mahasiswa untuk menguasai teknologi digital agar siap menghadapi masa depan ekonomi."/>
    <tableColumn id="19" xr3:uid="{00000000-0010-0000-0000-000013000000}" name="Saya tertarik untuk mempelajari lebih dalam tentang ekonomi digital dan teknologi terkait."/>
    <tableColumn id="20" xr3:uid="{00000000-0010-0000-0000-000014000000}" name="Sikap Terhadap Ekonomi Digital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4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 x14ac:dyDescent="0.35"/>
  <cols>
    <col min="1" max="3" width="18.86328125" customWidth="1"/>
    <col min="4" max="12" width="37.59765625" customWidth="1"/>
    <col min="13" max="13" width="16.265625" customWidth="1"/>
    <col min="14" max="19" width="37.59765625" customWidth="1"/>
    <col min="20" max="31" width="18.86328125" customWidth="1"/>
  </cols>
  <sheetData>
    <row r="1" spans="1:31" ht="22.5" customHeight="1" x14ac:dyDescent="0.35">
      <c r="A1" s="6" t="s">
        <v>8</v>
      </c>
      <c r="B1" s="6" t="s">
        <v>1</v>
      </c>
      <c r="C1" s="6" t="s">
        <v>2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7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7" t="s">
        <v>4</v>
      </c>
      <c r="P1" s="6" t="s">
        <v>20</v>
      </c>
      <c r="Q1" s="6" t="s">
        <v>21</v>
      </c>
      <c r="R1" s="6" t="s">
        <v>22</v>
      </c>
      <c r="S1" s="6" t="s">
        <v>23</v>
      </c>
      <c r="T1" s="7" t="s">
        <v>5</v>
      </c>
    </row>
    <row r="2" spans="1:31" ht="22.5" customHeight="1" x14ac:dyDescent="0.35">
      <c r="A2" s="9">
        <v>45809.793950914347</v>
      </c>
      <c r="B2" s="8" t="s">
        <v>6</v>
      </c>
      <c r="C2" s="8">
        <v>2</v>
      </c>
      <c r="D2" s="8">
        <v>5</v>
      </c>
      <c r="E2" s="8">
        <v>5</v>
      </c>
      <c r="F2" s="8">
        <v>5</v>
      </c>
      <c r="G2" s="8">
        <v>5</v>
      </c>
      <c r="H2" s="8">
        <v>5</v>
      </c>
      <c r="I2" s="8">
        <f t="shared" ref="I2:I46" si="0">SUM(D2:H2)</f>
        <v>25</v>
      </c>
      <c r="J2" s="8">
        <v>4</v>
      </c>
      <c r="K2" s="8">
        <v>5</v>
      </c>
      <c r="L2" s="8" t="s">
        <v>24</v>
      </c>
      <c r="M2" s="8">
        <f t="shared" ref="M2:M46" si="1">IF(L2="Tidak",0,1)</f>
        <v>0</v>
      </c>
      <c r="N2" s="8">
        <v>1</v>
      </c>
      <c r="O2" s="8">
        <f t="shared" ref="O2:O46" si="2">SUM(J2:K2,N2)</f>
        <v>10</v>
      </c>
      <c r="P2" s="8">
        <v>5</v>
      </c>
      <c r="Q2" s="8">
        <v>5</v>
      </c>
      <c r="R2" s="8">
        <v>5</v>
      </c>
      <c r="S2" s="8">
        <v>5</v>
      </c>
      <c r="T2" s="8">
        <f t="shared" ref="T2:T46" si="3">SUM(P2:S2)</f>
        <v>20</v>
      </c>
      <c r="V2" s="4">
        <v>2</v>
      </c>
      <c r="W2" s="4">
        <f t="shared" ref="W2:W4" si="4">COUNTIF($C$2:$C146,V2)</f>
        <v>23</v>
      </c>
    </row>
    <row r="3" spans="1:31" ht="22.5" customHeight="1" x14ac:dyDescent="0.35">
      <c r="A3" s="9">
        <v>45809.797435613422</v>
      </c>
      <c r="B3" s="8" t="s">
        <v>6</v>
      </c>
      <c r="C3" s="8">
        <v>4</v>
      </c>
      <c r="D3" s="8">
        <v>3</v>
      </c>
      <c r="E3" s="8">
        <v>4</v>
      </c>
      <c r="F3" s="8">
        <v>4</v>
      </c>
      <c r="G3" s="8">
        <v>4</v>
      </c>
      <c r="H3" s="8">
        <v>3</v>
      </c>
      <c r="I3" s="8">
        <f t="shared" si="0"/>
        <v>18</v>
      </c>
      <c r="J3" s="8">
        <v>4</v>
      </c>
      <c r="K3" s="8">
        <v>5</v>
      </c>
      <c r="L3" s="8" t="s">
        <v>24</v>
      </c>
      <c r="M3" s="8">
        <f t="shared" si="1"/>
        <v>0</v>
      </c>
      <c r="N3" s="8">
        <v>1</v>
      </c>
      <c r="O3" s="8">
        <f t="shared" si="2"/>
        <v>10</v>
      </c>
      <c r="P3" s="8">
        <v>4</v>
      </c>
      <c r="Q3" s="8">
        <v>4</v>
      </c>
      <c r="R3" s="8">
        <v>5</v>
      </c>
      <c r="S3" s="8">
        <v>5</v>
      </c>
      <c r="T3" s="8">
        <f t="shared" si="3"/>
        <v>18</v>
      </c>
      <c r="V3" s="4">
        <v>4</v>
      </c>
      <c r="W3" s="4">
        <f t="shared" si="4"/>
        <v>14</v>
      </c>
    </row>
    <row r="4" spans="1:31" ht="22.5" customHeight="1" x14ac:dyDescent="0.35">
      <c r="A4" s="9">
        <v>45809.797740243055</v>
      </c>
      <c r="B4" s="8" t="s">
        <v>6</v>
      </c>
      <c r="C4" s="8">
        <v>2</v>
      </c>
      <c r="D4" s="8">
        <v>5</v>
      </c>
      <c r="E4" s="8">
        <v>5</v>
      </c>
      <c r="F4" s="8">
        <v>4</v>
      </c>
      <c r="G4" s="8">
        <v>4</v>
      </c>
      <c r="H4" s="8">
        <v>5</v>
      </c>
      <c r="I4" s="8">
        <f t="shared" si="0"/>
        <v>23</v>
      </c>
      <c r="J4" s="8">
        <v>4</v>
      </c>
      <c r="K4" s="8">
        <v>4</v>
      </c>
      <c r="L4" s="8" t="s">
        <v>24</v>
      </c>
      <c r="M4" s="8">
        <f t="shared" si="1"/>
        <v>0</v>
      </c>
      <c r="N4" s="8">
        <v>1</v>
      </c>
      <c r="O4" s="8">
        <f t="shared" si="2"/>
        <v>9</v>
      </c>
      <c r="P4" s="8">
        <v>3</v>
      </c>
      <c r="Q4" s="8">
        <v>4</v>
      </c>
      <c r="R4" s="8">
        <v>5</v>
      </c>
      <c r="S4" s="8">
        <v>5</v>
      </c>
      <c r="T4" s="8">
        <f t="shared" si="3"/>
        <v>17</v>
      </c>
      <c r="V4" s="4">
        <v>6</v>
      </c>
      <c r="W4" s="4">
        <f t="shared" si="4"/>
        <v>8</v>
      </c>
    </row>
    <row r="5" spans="1:31" ht="22.5" customHeight="1" x14ac:dyDescent="0.35">
      <c r="A5" s="9">
        <v>45809.806488414353</v>
      </c>
      <c r="B5" s="8" t="s">
        <v>7</v>
      </c>
      <c r="C5" s="8">
        <v>2</v>
      </c>
      <c r="D5" s="8">
        <v>5</v>
      </c>
      <c r="E5" s="8">
        <v>5</v>
      </c>
      <c r="F5" s="8">
        <v>5</v>
      </c>
      <c r="G5" s="8">
        <v>5</v>
      </c>
      <c r="H5" s="8">
        <v>5</v>
      </c>
      <c r="I5" s="8">
        <f t="shared" si="0"/>
        <v>25</v>
      </c>
      <c r="J5" s="8">
        <v>4</v>
      </c>
      <c r="K5" s="8">
        <v>5</v>
      </c>
      <c r="L5" s="8" t="s">
        <v>25</v>
      </c>
      <c r="M5" s="8">
        <f t="shared" si="1"/>
        <v>1</v>
      </c>
      <c r="N5" s="8">
        <v>1</v>
      </c>
      <c r="O5" s="8">
        <f t="shared" si="2"/>
        <v>10</v>
      </c>
      <c r="P5" s="8">
        <v>5</v>
      </c>
      <c r="Q5" s="8">
        <v>5</v>
      </c>
      <c r="R5" s="8">
        <v>5</v>
      </c>
      <c r="S5" s="8">
        <v>5</v>
      </c>
      <c r="T5" s="8">
        <f t="shared" si="3"/>
        <v>20</v>
      </c>
      <c r="W5" s="4">
        <f>SUM(W2:W4)</f>
        <v>45</v>
      </c>
    </row>
    <row r="6" spans="1:31" ht="22.5" customHeight="1" x14ac:dyDescent="0.35">
      <c r="A6" s="9">
        <v>45809.843263356481</v>
      </c>
      <c r="B6" s="8" t="s">
        <v>6</v>
      </c>
      <c r="C6" s="8">
        <v>2</v>
      </c>
      <c r="D6" s="8">
        <v>4</v>
      </c>
      <c r="E6" s="8">
        <v>4</v>
      </c>
      <c r="F6" s="8">
        <v>4</v>
      </c>
      <c r="G6" s="8">
        <v>4</v>
      </c>
      <c r="H6" s="8">
        <v>4</v>
      </c>
      <c r="I6" s="8">
        <f t="shared" si="0"/>
        <v>20</v>
      </c>
      <c r="J6" s="8">
        <v>4</v>
      </c>
      <c r="K6" s="8">
        <v>4</v>
      </c>
      <c r="L6" s="8" t="s">
        <v>24</v>
      </c>
      <c r="M6" s="8">
        <f t="shared" si="1"/>
        <v>0</v>
      </c>
      <c r="N6" s="8">
        <v>1</v>
      </c>
      <c r="O6" s="8">
        <f t="shared" si="2"/>
        <v>9</v>
      </c>
      <c r="P6" s="8">
        <v>4</v>
      </c>
      <c r="Q6" s="8">
        <v>4</v>
      </c>
      <c r="R6" s="8">
        <v>4</v>
      </c>
      <c r="S6" s="8">
        <v>3</v>
      </c>
      <c r="T6" s="8">
        <f t="shared" si="3"/>
        <v>15</v>
      </c>
      <c r="AA6" s="4"/>
      <c r="AB6" s="10"/>
      <c r="AC6" s="11"/>
      <c r="AD6" s="11"/>
    </row>
    <row r="7" spans="1:31" ht="22.5" customHeight="1" x14ac:dyDescent="0.4">
      <c r="A7" s="9">
        <v>45809.857963101851</v>
      </c>
      <c r="B7" s="8" t="s">
        <v>7</v>
      </c>
      <c r="C7" s="8">
        <v>2</v>
      </c>
      <c r="D7" s="8">
        <v>5</v>
      </c>
      <c r="E7" s="8">
        <v>5</v>
      </c>
      <c r="F7" s="8">
        <v>5</v>
      </c>
      <c r="G7" s="8">
        <v>5</v>
      </c>
      <c r="H7" s="8">
        <v>4</v>
      </c>
      <c r="I7" s="8">
        <f t="shared" si="0"/>
        <v>24</v>
      </c>
      <c r="J7" s="8">
        <v>1</v>
      </c>
      <c r="K7" s="8">
        <v>4</v>
      </c>
      <c r="L7" s="8" t="s">
        <v>25</v>
      </c>
      <c r="M7" s="8">
        <f t="shared" si="1"/>
        <v>1</v>
      </c>
      <c r="N7" s="8">
        <v>1</v>
      </c>
      <c r="O7" s="8">
        <f t="shared" si="2"/>
        <v>6</v>
      </c>
      <c r="P7" s="8">
        <v>3</v>
      </c>
      <c r="Q7" s="8">
        <v>4</v>
      </c>
      <c r="R7" s="8">
        <v>5</v>
      </c>
      <c r="S7" s="8">
        <v>5</v>
      </c>
      <c r="T7" s="8">
        <f t="shared" si="3"/>
        <v>17</v>
      </c>
      <c r="V7" s="12" t="s">
        <v>3</v>
      </c>
      <c r="W7" s="13"/>
      <c r="AA7" s="4"/>
      <c r="AB7" s="4"/>
      <c r="AC7" s="4"/>
      <c r="AD7" s="4"/>
      <c r="AE7" s="4"/>
    </row>
    <row r="8" spans="1:31" ht="22.5" customHeight="1" x14ac:dyDescent="0.35">
      <c r="A8" s="9">
        <v>45809.865604826387</v>
      </c>
      <c r="B8" s="8" t="s">
        <v>7</v>
      </c>
      <c r="C8" s="8">
        <v>2</v>
      </c>
      <c r="D8" s="8">
        <v>3</v>
      </c>
      <c r="E8" s="8">
        <v>5</v>
      </c>
      <c r="F8" s="8">
        <v>4</v>
      </c>
      <c r="G8" s="8">
        <v>4</v>
      </c>
      <c r="H8" s="8">
        <v>4</v>
      </c>
      <c r="I8" s="8">
        <f t="shared" si="0"/>
        <v>20</v>
      </c>
      <c r="J8" s="8">
        <v>1</v>
      </c>
      <c r="K8" s="8">
        <v>4</v>
      </c>
      <c r="L8" s="8" t="s">
        <v>24</v>
      </c>
      <c r="M8" s="8">
        <f t="shared" si="1"/>
        <v>0</v>
      </c>
      <c r="N8" s="8">
        <v>1</v>
      </c>
      <c r="O8" s="8">
        <f t="shared" si="2"/>
        <v>6</v>
      </c>
      <c r="P8" s="8">
        <v>3</v>
      </c>
      <c r="Q8" s="8">
        <v>4</v>
      </c>
      <c r="R8" s="8">
        <v>5</v>
      </c>
      <c r="S8" s="8">
        <v>5</v>
      </c>
      <c r="T8" s="8">
        <f t="shared" si="3"/>
        <v>17</v>
      </c>
      <c r="V8" s="5" t="s">
        <v>26</v>
      </c>
      <c r="W8" s="5">
        <f>MIN(I2:I146)</f>
        <v>14</v>
      </c>
      <c r="X8" s="4">
        <f>COUNTIF(I2:I146,"&lt;"&amp;W10)</f>
        <v>20</v>
      </c>
      <c r="Y8" s="4" t="s">
        <v>27</v>
      </c>
      <c r="Z8" s="4"/>
      <c r="AA8" s="4"/>
      <c r="AB8" s="4"/>
      <c r="AC8" s="4"/>
      <c r="AD8" s="4"/>
      <c r="AE8" s="4"/>
    </row>
    <row r="9" spans="1:31" ht="22.5" customHeight="1" x14ac:dyDescent="0.35">
      <c r="A9" s="9">
        <v>45809.866487789353</v>
      </c>
      <c r="B9" s="8" t="s">
        <v>6</v>
      </c>
      <c r="C9" s="8">
        <v>4</v>
      </c>
      <c r="D9" s="8">
        <v>5</v>
      </c>
      <c r="E9" s="8">
        <v>5</v>
      </c>
      <c r="F9" s="8">
        <v>5</v>
      </c>
      <c r="G9" s="8">
        <v>3</v>
      </c>
      <c r="H9" s="8">
        <v>5</v>
      </c>
      <c r="I9" s="8">
        <f t="shared" si="0"/>
        <v>23</v>
      </c>
      <c r="J9" s="8">
        <v>3</v>
      </c>
      <c r="K9" s="8">
        <v>5</v>
      </c>
      <c r="L9" s="8" t="s">
        <v>25</v>
      </c>
      <c r="M9" s="8">
        <f t="shared" si="1"/>
        <v>1</v>
      </c>
      <c r="N9" s="8">
        <v>4</v>
      </c>
      <c r="O9" s="8">
        <f t="shared" si="2"/>
        <v>12</v>
      </c>
      <c r="P9" s="8">
        <v>4</v>
      </c>
      <c r="Q9" s="8">
        <v>5</v>
      </c>
      <c r="R9" s="8">
        <v>5</v>
      </c>
      <c r="S9" s="8">
        <v>5</v>
      </c>
      <c r="T9" s="8">
        <f t="shared" si="3"/>
        <v>19</v>
      </c>
      <c r="V9" s="5" t="s">
        <v>28</v>
      </c>
      <c r="W9" s="5">
        <f>MAX(I2:I146)</f>
        <v>25</v>
      </c>
      <c r="X9" s="4">
        <f>COUNTIF(I2:I146,"&gt;="&amp;W10)</f>
        <v>25</v>
      </c>
      <c r="Y9" s="4" t="s">
        <v>29</v>
      </c>
      <c r="Z9" s="4"/>
      <c r="AA9" s="4"/>
      <c r="AB9" s="4"/>
      <c r="AC9" s="4"/>
      <c r="AD9" s="4"/>
      <c r="AE9" s="4"/>
    </row>
    <row r="10" spans="1:31" ht="22.5" customHeight="1" x14ac:dyDescent="0.35">
      <c r="A10" s="9">
        <v>45809.866809756946</v>
      </c>
      <c r="B10" s="8" t="s">
        <v>7</v>
      </c>
      <c r="C10" s="8">
        <v>2</v>
      </c>
      <c r="D10" s="8">
        <v>3</v>
      </c>
      <c r="E10" s="8">
        <v>5</v>
      </c>
      <c r="F10" s="8">
        <v>5</v>
      </c>
      <c r="G10" s="8">
        <v>4</v>
      </c>
      <c r="H10" s="8">
        <v>4</v>
      </c>
      <c r="I10" s="8">
        <f t="shared" si="0"/>
        <v>21</v>
      </c>
      <c r="J10" s="8">
        <v>3</v>
      </c>
      <c r="K10" s="8">
        <v>3</v>
      </c>
      <c r="L10" s="8" t="s">
        <v>24</v>
      </c>
      <c r="M10" s="8">
        <f t="shared" si="1"/>
        <v>0</v>
      </c>
      <c r="N10" s="8">
        <v>1</v>
      </c>
      <c r="O10" s="8">
        <f t="shared" si="2"/>
        <v>7</v>
      </c>
      <c r="P10" s="8">
        <v>4</v>
      </c>
      <c r="Q10" s="8">
        <v>4</v>
      </c>
      <c r="R10" s="8">
        <v>5</v>
      </c>
      <c r="S10" s="8">
        <v>5</v>
      </c>
      <c r="T10" s="8">
        <f t="shared" si="3"/>
        <v>18</v>
      </c>
      <c r="V10" s="5" t="s">
        <v>30</v>
      </c>
      <c r="W10" s="5">
        <f>MEDIAN(I2:I146)</f>
        <v>23</v>
      </c>
      <c r="AA10" s="4"/>
      <c r="AB10" s="4"/>
      <c r="AC10" s="4"/>
      <c r="AD10" s="4"/>
    </row>
    <row r="11" spans="1:31" ht="22.5" customHeight="1" x14ac:dyDescent="0.4">
      <c r="A11" s="9">
        <v>45809.871537303239</v>
      </c>
      <c r="B11" s="8" t="s">
        <v>7</v>
      </c>
      <c r="C11" s="8">
        <v>2</v>
      </c>
      <c r="D11" s="8">
        <v>5</v>
      </c>
      <c r="E11" s="8">
        <v>5</v>
      </c>
      <c r="F11" s="8">
        <v>5</v>
      </c>
      <c r="G11" s="8">
        <v>5</v>
      </c>
      <c r="H11" s="8">
        <v>3</v>
      </c>
      <c r="I11" s="8">
        <f t="shared" si="0"/>
        <v>23</v>
      </c>
      <c r="J11" s="8">
        <v>2</v>
      </c>
      <c r="K11" s="8">
        <v>5</v>
      </c>
      <c r="L11" s="8" t="s">
        <v>24</v>
      </c>
      <c r="M11" s="8">
        <f t="shared" si="1"/>
        <v>0</v>
      </c>
      <c r="N11" s="8">
        <v>1</v>
      </c>
      <c r="O11" s="8">
        <f t="shared" si="2"/>
        <v>8</v>
      </c>
      <c r="P11" s="8">
        <v>4</v>
      </c>
      <c r="Q11" s="8">
        <v>3</v>
      </c>
      <c r="R11" s="8">
        <v>5</v>
      </c>
      <c r="S11" s="8">
        <v>4</v>
      </c>
      <c r="T11" s="8">
        <f t="shared" si="3"/>
        <v>16</v>
      </c>
      <c r="V11" s="12" t="s">
        <v>31</v>
      </c>
      <c r="W11" s="13"/>
      <c r="AA11" s="4"/>
    </row>
    <row r="12" spans="1:31" ht="22.5" customHeight="1" x14ac:dyDescent="0.35">
      <c r="A12" s="9">
        <v>45809.877960104168</v>
      </c>
      <c r="B12" s="8" t="s">
        <v>6</v>
      </c>
      <c r="C12" s="8">
        <v>2</v>
      </c>
      <c r="D12" s="8">
        <v>5</v>
      </c>
      <c r="E12" s="8">
        <v>5</v>
      </c>
      <c r="F12" s="8">
        <v>5</v>
      </c>
      <c r="G12" s="8">
        <v>5</v>
      </c>
      <c r="H12" s="8">
        <v>5</v>
      </c>
      <c r="I12" s="8">
        <f t="shared" si="0"/>
        <v>25</v>
      </c>
      <c r="J12" s="8">
        <v>5</v>
      </c>
      <c r="K12" s="8">
        <v>5</v>
      </c>
      <c r="L12" s="8" t="s">
        <v>25</v>
      </c>
      <c r="M12" s="8">
        <f t="shared" si="1"/>
        <v>1</v>
      </c>
      <c r="N12" s="8">
        <v>2</v>
      </c>
      <c r="O12" s="8">
        <f t="shared" si="2"/>
        <v>12</v>
      </c>
      <c r="P12" s="8">
        <v>5</v>
      </c>
      <c r="Q12" s="8">
        <v>5</v>
      </c>
      <c r="R12" s="8">
        <v>5</v>
      </c>
      <c r="S12" s="8">
        <v>5</v>
      </c>
      <c r="T12" s="8">
        <f t="shared" si="3"/>
        <v>20</v>
      </c>
      <c r="V12" s="5" t="s">
        <v>26</v>
      </c>
      <c r="W12" s="5">
        <f>MIN(O2:O146)</f>
        <v>3</v>
      </c>
      <c r="X12" s="4">
        <f>COUNTIF(O2:O146,"&lt;"&amp;W14)</f>
        <v>20</v>
      </c>
      <c r="Y12" s="4" t="s">
        <v>32</v>
      </c>
      <c r="Z12" s="4"/>
      <c r="AE12" s="4"/>
    </row>
    <row r="13" spans="1:31" ht="22.5" customHeight="1" x14ac:dyDescent="0.35">
      <c r="A13" s="9">
        <v>45810.305972546295</v>
      </c>
      <c r="B13" s="8" t="s">
        <v>6</v>
      </c>
      <c r="C13" s="8">
        <v>6</v>
      </c>
      <c r="D13" s="8">
        <v>5</v>
      </c>
      <c r="E13" s="8">
        <v>5</v>
      </c>
      <c r="F13" s="8">
        <v>4</v>
      </c>
      <c r="G13" s="8">
        <v>5</v>
      </c>
      <c r="H13" s="8">
        <v>5</v>
      </c>
      <c r="I13" s="8">
        <f t="shared" si="0"/>
        <v>24</v>
      </c>
      <c r="J13" s="8">
        <v>4</v>
      </c>
      <c r="K13" s="8">
        <v>5</v>
      </c>
      <c r="L13" s="8" t="s">
        <v>24</v>
      </c>
      <c r="M13" s="8">
        <f t="shared" si="1"/>
        <v>0</v>
      </c>
      <c r="N13" s="8">
        <v>1</v>
      </c>
      <c r="O13" s="8">
        <f t="shared" si="2"/>
        <v>10</v>
      </c>
      <c r="P13" s="8">
        <v>4</v>
      </c>
      <c r="Q13" s="8">
        <v>5</v>
      </c>
      <c r="R13" s="8">
        <v>5</v>
      </c>
      <c r="S13" s="8">
        <v>5</v>
      </c>
      <c r="T13" s="8">
        <f t="shared" si="3"/>
        <v>19</v>
      </c>
      <c r="V13" s="5" t="s">
        <v>28</v>
      </c>
      <c r="W13" s="5">
        <f>MAX(O2:O146)</f>
        <v>14</v>
      </c>
      <c r="X13" s="4">
        <f>COUNTIF(O2:O146,"&gt;="&amp;W14)</f>
        <v>25</v>
      </c>
      <c r="Y13" s="4" t="s">
        <v>33</v>
      </c>
      <c r="Z13" s="4"/>
      <c r="AA13" s="4"/>
      <c r="AB13" s="10"/>
      <c r="AC13" s="11"/>
      <c r="AD13" s="11"/>
      <c r="AE13" s="4"/>
    </row>
    <row r="14" spans="1:31" ht="22.5" customHeight="1" x14ac:dyDescent="0.35">
      <c r="A14" s="9">
        <v>45810.607092743056</v>
      </c>
      <c r="B14" s="8" t="s">
        <v>6</v>
      </c>
      <c r="C14" s="8">
        <v>4</v>
      </c>
      <c r="D14" s="8">
        <v>5</v>
      </c>
      <c r="E14" s="8">
        <v>5</v>
      </c>
      <c r="F14" s="8">
        <v>3</v>
      </c>
      <c r="G14" s="8">
        <v>4</v>
      </c>
      <c r="H14" s="8">
        <v>4</v>
      </c>
      <c r="I14" s="8">
        <f t="shared" si="0"/>
        <v>21</v>
      </c>
      <c r="J14" s="8">
        <v>3</v>
      </c>
      <c r="K14" s="8">
        <v>5</v>
      </c>
      <c r="L14" s="8" t="s">
        <v>24</v>
      </c>
      <c r="M14" s="8">
        <f t="shared" si="1"/>
        <v>0</v>
      </c>
      <c r="N14" s="8">
        <v>1</v>
      </c>
      <c r="O14" s="8">
        <f t="shared" si="2"/>
        <v>9</v>
      </c>
      <c r="P14" s="8">
        <v>4</v>
      </c>
      <c r="Q14" s="8">
        <v>5</v>
      </c>
      <c r="R14" s="8">
        <v>5</v>
      </c>
      <c r="S14" s="8">
        <v>4</v>
      </c>
      <c r="T14" s="8">
        <f t="shared" si="3"/>
        <v>18</v>
      </c>
      <c r="V14" s="5" t="s">
        <v>30</v>
      </c>
      <c r="W14" s="5">
        <f>MEDIAN(O2:O146)</f>
        <v>10</v>
      </c>
      <c r="AA14" s="4"/>
      <c r="AB14" s="4"/>
      <c r="AC14" s="4"/>
      <c r="AD14" s="4"/>
    </row>
    <row r="15" spans="1:31" ht="22.5" customHeight="1" x14ac:dyDescent="0.4">
      <c r="A15" s="9">
        <v>45811.314005451393</v>
      </c>
      <c r="B15" s="8" t="s">
        <v>7</v>
      </c>
      <c r="C15" s="8">
        <v>4</v>
      </c>
      <c r="D15" s="8">
        <v>3</v>
      </c>
      <c r="E15" s="8">
        <v>3</v>
      </c>
      <c r="F15" s="8">
        <v>4</v>
      </c>
      <c r="G15" s="8">
        <v>4</v>
      </c>
      <c r="H15" s="8">
        <v>5</v>
      </c>
      <c r="I15" s="8">
        <f t="shared" si="0"/>
        <v>19</v>
      </c>
      <c r="J15" s="8">
        <v>2</v>
      </c>
      <c r="K15" s="8">
        <v>5</v>
      </c>
      <c r="L15" s="8" t="s">
        <v>25</v>
      </c>
      <c r="M15" s="8">
        <f t="shared" si="1"/>
        <v>1</v>
      </c>
      <c r="N15" s="8">
        <v>2</v>
      </c>
      <c r="O15" s="8">
        <f t="shared" si="2"/>
        <v>9</v>
      </c>
      <c r="P15" s="8">
        <v>5</v>
      </c>
      <c r="Q15" s="8">
        <v>5</v>
      </c>
      <c r="R15" s="8">
        <v>5</v>
      </c>
      <c r="S15" s="8">
        <v>5</v>
      </c>
      <c r="T15" s="8">
        <f t="shared" si="3"/>
        <v>20</v>
      </c>
      <c r="V15" s="12" t="s">
        <v>34</v>
      </c>
      <c r="W15" s="13"/>
      <c r="AA15" s="4"/>
      <c r="AB15" s="4"/>
      <c r="AC15" s="4"/>
      <c r="AD15" s="4"/>
    </row>
    <row r="16" spans="1:31" ht="22.5" customHeight="1" x14ac:dyDescent="0.35">
      <c r="A16" s="9">
        <v>45811.33468980324</v>
      </c>
      <c r="B16" s="8" t="s">
        <v>7</v>
      </c>
      <c r="C16" s="8">
        <v>4</v>
      </c>
      <c r="D16" s="8">
        <v>4</v>
      </c>
      <c r="E16" s="8">
        <v>5</v>
      </c>
      <c r="F16" s="8">
        <v>4</v>
      </c>
      <c r="G16" s="8">
        <v>4</v>
      </c>
      <c r="H16" s="8">
        <v>5</v>
      </c>
      <c r="I16" s="8">
        <f t="shared" si="0"/>
        <v>22</v>
      </c>
      <c r="J16" s="8">
        <v>5</v>
      </c>
      <c r="K16" s="8">
        <v>5</v>
      </c>
      <c r="L16" s="8" t="s">
        <v>24</v>
      </c>
      <c r="M16" s="8">
        <f t="shared" si="1"/>
        <v>0</v>
      </c>
      <c r="N16" s="8">
        <v>1</v>
      </c>
      <c r="O16" s="8">
        <f t="shared" si="2"/>
        <v>11</v>
      </c>
      <c r="P16" s="8">
        <v>5</v>
      </c>
      <c r="Q16" s="8">
        <v>5</v>
      </c>
      <c r="R16" s="8">
        <v>4</v>
      </c>
      <c r="S16" s="8">
        <v>4</v>
      </c>
      <c r="T16" s="8">
        <f t="shared" si="3"/>
        <v>18</v>
      </c>
      <c r="V16" s="5" t="s">
        <v>26</v>
      </c>
      <c r="W16" s="5">
        <f>MIN(T2:T146)</f>
        <v>12</v>
      </c>
      <c r="X16" s="4">
        <f>COUNTIF(T2:T146,"&lt;"&amp;W18)</f>
        <v>14</v>
      </c>
      <c r="Y16" s="4" t="s">
        <v>32</v>
      </c>
      <c r="Z16" s="4"/>
      <c r="AA16" s="4"/>
      <c r="AB16" s="4"/>
      <c r="AC16" s="4"/>
      <c r="AD16" s="4"/>
      <c r="AE16" s="4"/>
    </row>
    <row r="17" spans="1:31" ht="22.5" customHeight="1" x14ac:dyDescent="0.35">
      <c r="A17" s="9">
        <v>45811.353574745372</v>
      </c>
      <c r="B17" s="8" t="s">
        <v>6</v>
      </c>
      <c r="C17" s="8">
        <v>2</v>
      </c>
      <c r="D17" s="8">
        <v>5</v>
      </c>
      <c r="E17" s="8">
        <v>5</v>
      </c>
      <c r="F17" s="8">
        <v>5</v>
      </c>
      <c r="G17" s="8">
        <v>5</v>
      </c>
      <c r="H17" s="8">
        <v>5</v>
      </c>
      <c r="I17" s="8">
        <f t="shared" si="0"/>
        <v>25</v>
      </c>
      <c r="J17" s="8">
        <v>4</v>
      </c>
      <c r="K17" s="8">
        <v>5</v>
      </c>
      <c r="L17" s="8" t="s">
        <v>25</v>
      </c>
      <c r="M17" s="8">
        <f t="shared" si="1"/>
        <v>1</v>
      </c>
      <c r="N17" s="8">
        <v>3</v>
      </c>
      <c r="O17" s="8">
        <f t="shared" si="2"/>
        <v>12</v>
      </c>
      <c r="P17" s="8">
        <v>5</v>
      </c>
      <c r="Q17" s="8">
        <v>5</v>
      </c>
      <c r="R17" s="8">
        <v>5</v>
      </c>
      <c r="S17" s="8">
        <v>5</v>
      </c>
      <c r="T17" s="8">
        <f t="shared" si="3"/>
        <v>20</v>
      </c>
      <c r="V17" s="5" t="s">
        <v>28</v>
      </c>
      <c r="W17" s="5">
        <f>MAX(T2:T146)</f>
        <v>20</v>
      </c>
      <c r="X17" s="4">
        <f>COUNTIF(T2:T146,"&gt;="&amp;W18)</f>
        <v>31</v>
      </c>
      <c r="Y17" s="4" t="s">
        <v>33</v>
      </c>
      <c r="Z17" s="4"/>
      <c r="AA17" s="4"/>
      <c r="AB17" s="4"/>
      <c r="AC17" s="4"/>
      <c r="AD17" s="4"/>
      <c r="AE17" s="4"/>
    </row>
    <row r="18" spans="1:31" ht="22.5" customHeight="1" x14ac:dyDescent="0.35">
      <c r="A18" s="9">
        <v>45811.354450497689</v>
      </c>
      <c r="B18" s="8" t="s">
        <v>6</v>
      </c>
      <c r="C18" s="8">
        <v>2</v>
      </c>
      <c r="D18" s="8">
        <v>5</v>
      </c>
      <c r="E18" s="8">
        <v>5</v>
      </c>
      <c r="F18" s="8">
        <v>4</v>
      </c>
      <c r="G18" s="8">
        <v>5</v>
      </c>
      <c r="H18" s="8">
        <v>5</v>
      </c>
      <c r="I18" s="8">
        <f t="shared" si="0"/>
        <v>24</v>
      </c>
      <c r="J18" s="8">
        <v>4</v>
      </c>
      <c r="K18" s="8">
        <v>5</v>
      </c>
      <c r="L18" s="8" t="s">
        <v>25</v>
      </c>
      <c r="M18" s="8">
        <f t="shared" si="1"/>
        <v>1</v>
      </c>
      <c r="N18" s="8">
        <v>2</v>
      </c>
      <c r="O18" s="8">
        <f t="shared" si="2"/>
        <v>11</v>
      </c>
      <c r="P18" s="8">
        <v>5</v>
      </c>
      <c r="Q18" s="8">
        <v>5</v>
      </c>
      <c r="R18" s="8">
        <v>5</v>
      </c>
      <c r="S18" s="8">
        <v>5</v>
      </c>
      <c r="T18" s="8">
        <f t="shared" si="3"/>
        <v>20</v>
      </c>
      <c r="V18" s="5" t="s">
        <v>30</v>
      </c>
      <c r="W18" s="5">
        <f>MEDIAN(T2:T146)</f>
        <v>18</v>
      </c>
      <c r="AA18" s="4"/>
    </row>
    <row r="19" spans="1:31" ht="22.5" customHeight="1" x14ac:dyDescent="0.35">
      <c r="A19" s="9">
        <v>45811.35633012731</v>
      </c>
      <c r="B19" s="8" t="s">
        <v>6</v>
      </c>
      <c r="C19" s="8">
        <v>2</v>
      </c>
      <c r="D19" s="8">
        <v>4</v>
      </c>
      <c r="E19" s="8">
        <v>5</v>
      </c>
      <c r="F19" s="8">
        <v>5</v>
      </c>
      <c r="G19" s="8">
        <v>5</v>
      </c>
      <c r="H19" s="8">
        <v>5</v>
      </c>
      <c r="I19" s="8">
        <f t="shared" si="0"/>
        <v>24</v>
      </c>
      <c r="J19" s="8">
        <v>5</v>
      </c>
      <c r="K19" s="8">
        <v>5</v>
      </c>
      <c r="L19" s="8" t="s">
        <v>25</v>
      </c>
      <c r="M19" s="8">
        <f t="shared" si="1"/>
        <v>1</v>
      </c>
      <c r="N19" s="8">
        <v>3</v>
      </c>
      <c r="O19" s="8">
        <f t="shared" si="2"/>
        <v>13</v>
      </c>
      <c r="P19" s="8">
        <v>5</v>
      </c>
      <c r="Q19" s="8">
        <v>5</v>
      </c>
      <c r="R19" s="8">
        <v>5</v>
      </c>
      <c r="S19" s="8">
        <v>5</v>
      </c>
      <c r="T19" s="8">
        <f t="shared" si="3"/>
        <v>20</v>
      </c>
    </row>
    <row r="20" spans="1:31" ht="22.5" customHeight="1" x14ac:dyDescent="0.35">
      <c r="A20" s="9">
        <v>45811.40996715278</v>
      </c>
      <c r="B20" s="8" t="s">
        <v>7</v>
      </c>
      <c r="C20" s="8">
        <v>2</v>
      </c>
      <c r="D20" s="8">
        <v>4</v>
      </c>
      <c r="E20" s="8">
        <v>5</v>
      </c>
      <c r="F20" s="8">
        <v>3</v>
      </c>
      <c r="G20" s="8">
        <v>4</v>
      </c>
      <c r="H20" s="8">
        <v>5</v>
      </c>
      <c r="I20" s="8">
        <f t="shared" si="0"/>
        <v>21</v>
      </c>
      <c r="J20" s="8">
        <v>3</v>
      </c>
      <c r="K20" s="8">
        <v>5</v>
      </c>
      <c r="L20" s="8" t="s">
        <v>24</v>
      </c>
      <c r="M20" s="8">
        <f t="shared" si="1"/>
        <v>0</v>
      </c>
      <c r="N20" s="8">
        <v>1</v>
      </c>
      <c r="O20" s="8">
        <f t="shared" si="2"/>
        <v>9</v>
      </c>
      <c r="P20" s="8">
        <v>4</v>
      </c>
      <c r="Q20" s="8">
        <v>4</v>
      </c>
      <c r="R20" s="8">
        <v>4</v>
      </c>
      <c r="S20" s="8">
        <v>4</v>
      </c>
      <c r="T20" s="8">
        <f t="shared" si="3"/>
        <v>16</v>
      </c>
    </row>
    <row r="21" spans="1:31" ht="22.5" customHeight="1" x14ac:dyDescent="0.35">
      <c r="A21" s="9">
        <v>45811.42256092593</v>
      </c>
      <c r="B21" s="8" t="s">
        <v>6</v>
      </c>
      <c r="C21" s="8">
        <v>4</v>
      </c>
      <c r="D21" s="8">
        <v>5</v>
      </c>
      <c r="E21" s="8">
        <v>4</v>
      </c>
      <c r="F21" s="8">
        <v>5</v>
      </c>
      <c r="G21" s="8">
        <v>5</v>
      </c>
      <c r="H21" s="8">
        <v>5</v>
      </c>
      <c r="I21" s="8">
        <f t="shared" si="0"/>
        <v>24</v>
      </c>
      <c r="J21" s="8">
        <v>5</v>
      </c>
      <c r="K21" s="8">
        <v>5</v>
      </c>
      <c r="L21" s="8" t="s">
        <v>24</v>
      </c>
      <c r="M21" s="8">
        <f t="shared" si="1"/>
        <v>0</v>
      </c>
      <c r="N21" s="8">
        <v>1</v>
      </c>
      <c r="O21" s="8">
        <f t="shared" si="2"/>
        <v>11</v>
      </c>
      <c r="P21" s="8">
        <v>4</v>
      </c>
      <c r="Q21" s="8">
        <v>3</v>
      </c>
      <c r="R21" s="8">
        <v>3</v>
      </c>
      <c r="S21" s="8">
        <v>3</v>
      </c>
      <c r="T21" s="8">
        <f t="shared" si="3"/>
        <v>13</v>
      </c>
    </row>
    <row r="22" spans="1:31" ht="22.5" customHeight="1" x14ac:dyDescent="0.35">
      <c r="A22" s="9">
        <v>45811.436185185186</v>
      </c>
      <c r="B22" s="8" t="s">
        <v>6</v>
      </c>
      <c r="C22" s="8">
        <v>2</v>
      </c>
      <c r="D22" s="8">
        <v>5</v>
      </c>
      <c r="E22" s="8">
        <v>5</v>
      </c>
      <c r="F22" s="8">
        <v>5</v>
      </c>
      <c r="G22" s="8">
        <v>5</v>
      </c>
      <c r="H22" s="8">
        <v>5</v>
      </c>
      <c r="I22" s="8">
        <f t="shared" si="0"/>
        <v>25</v>
      </c>
      <c r="J22" s="8">
        <v>3</v>
      </c>
      <c r="K22" s="8">
        <v>4</v>
      </c>
      <c r="L22" s="8" t="s">
        <v>24</v>
      </c>
      <c r="M22" s="8">
        <f t="shared" si="1"/>
        <v>0</v>
      </c>
      <c r="N22" s="8">
        <v>1</v>
      </c>
      <c r="O22" s="8">
        <f t="shared" si="2"/>
        <v>8</v>
      </c>
      <c r="P22" s="8">
        <v>4</v>
      </c>
      <c r="Q22" s="8">
        <v>4</v>
      </c>
      <c r="R22" s="8">
        <v>4</v>
      </c>
      <c r="S22" s="8">
        <v>4</v>
      </c>
      <c r="T22" s="8">
        <f t="shared" si="3"/>
        <v>16</v>
      </c>
    </row>
    <row r="23" spans="1:31" ht="22.5" customHeight="1" x14ac:dyDescent="0.35">
      <c r="A23" s="9">
        <v>45811.471766759263</v>
      </c>
      <c r="B23" s="8" t="s">
        <v>7</v>
      </c>
      <c r="C23" s="8">
        <v>6</v>
      </c>
      <c r="D23" s="8">
        <v>4</v>
      </c>
      <c r="E23" s="8">
        <v>4</v>
      </c>
      <c r="F23" s="8">
        <v>4</v>
      </c>
      <c r="G23" s="8">
        <v>4</v>
      </c>
      <c r="H23" s="8">
        <v>4</v>
      </c>
      <c r="I23" s="8">
        <f t="shared" si="0"/>
        <v>20</v>
      </c>
      <c r="J23" s="8">
        <v>4</v>
      </c>
      <c r="K23" s="8">
        <v>4</v>
      </c>
      <c r="L23" s="8" t="s">
        <v>24</v>
      </c>
      <c r="M23" s="8">
        <f t="shared" si="1"/>
        <v>0</v>
      </c>
      <c r="N23" s="8">
        <v>1</v>
      </c>
      <c r="O23" s="8">
        <f t="shared" si="2"/>
        <v>9</v>
      </c>
      <c r="P23" s="8">
        <v>4</v>
      </c>
      <c r="Q23" s="8">
        <v>4</v>
      </c>
      <c r="R23" s="8">
        <v>4</v>
      </c>
      <c r="S23" s="8">
        <v>4</v>
      </c>
      <c r="T23" s="8">
        <f t="shared" si="3"/>
        <v>16</v>
      </c>
    </row>
    <row r="24" spans="1:31" ht="22.5" customHeight="1" x14ac:dyDescent="0.35">
      <c r="A24" s="9">
        <v>45811.472386944442</v>
      </c>
      <c r="B24" s="8" t="s">
        <v>6</v>
      </c>
      <c r="C24" s="8">
        <v>4</v>
      </c>
      <c r="D24" s="8">
        <v>5</v>
      </c>
      <c r="E24" s="8">
        <v>5</v>
      </c>
      <c r="F24" s="8">
        <v>3</v>
      </c>
      <c r="G24" s="8">
        <v>4</v>
      </c>
      <c r="H24" s="8">
        <v>3</v>
      </c>
      <c r="I24" s="8">
        <f t="shared" si="0"/>
        <v>20</v>
      </c>
      <c r="J24" s="8">
        <v>4</v>
      </c>
      <c r="K24" s="8">
        <v>5</v>
      </c>
      <c r="L24" s="8" t="s">
        <v>24</v>
      </c>
      <c r="M24" s="8">
        <f t="shared" si="1"/>
        <v>0</v>
      </c>
      <c r="N24" s="8">
        <v>1</v>
      </c>
      <c r="O24" s="8">
        <f t="shared" si="2"/>
        <v>10</v>
      </c>
      <c r="P24" s="8">
        <v>4</v>
      </c>
      <c r="Q24" s="8">
        <v>5</v>
      </c>
      <c r="R24" s="8">
        <v>5</v>
      </c>
      <c r="S24" s="8">
        <v>4</v>
      </c>
      <c r="T24" s="8">
        <f t="shared" si="3"/>
        <v>18</v>
      </c>
    </row>
    <row r="25" spans="1:31" ht="22.5" customHeight="1" x14ac:dyDescent="0.35">
      <c r="A25" s="9">
        <v>45811.474990312505</v>
      </c>
      <c r="B25" s="8" t="s">
        <v>7</v>
      </c>
      <c r="C25" s="8">
        <v>4</v>
      </c>
      <c r="D25" s="8">
        <v>5</v>
      </c>
      <c r="E25" s="8">
        <v>5</v>
      </c>
      <c r="F25" s="8">
        <v>5</v>
      </c>
      <c r="G25" s="8">
        <v>5</v>
      </c>
      <c r="H25" s="8">
        <v>5</v>
      </c>
      <c r="I25" s="8">
        <f t="shared" si="0"/>
        <v>25</v>
      </c>
      <c r="J25" s="8">
        <v>4</v>
      </c>
      <c r="K25" s="8">
        <v>5</v>
      </c>
      <c r="L25" s="8" t="s">
        <v>25</v>
      </c>
      <c r="M25" s="8">
        <f t="shared" si="1"/>
        <v>1</v>
      </c>
      <c r="N25" s="8">
        <v>3</v>
      </c>
      <c r="O25" s="8">
        <f t="shared" si="2"/>
        <v>12</v>
      </c>
      <c r="P25" s="8">
        <v>4</v>
      </c>
      <c r="Q25" s="8">
        <v>4</v>
      </c>
      <c r="R25" s="8">
        <v>5</v>
      </c>
      <c r="S25" s="8">
        <v>5</v>
      </c>
      <c r="T25" s="8">
        <f t="shared" si="3"/>
        <v>18</v>
      </c>
    </row>
    <row r="26" spans="1:31" ht="22.5" customHeight="1" x14ac:dyDescent="0.35">
      <c r="A26" s="9">
        <v>45811.516327569443</v>
      </c>
      <c r="B26" s="8" t="s">
        <v>7</v>
      </c>
      <c r="C26" s="8">
        <v>4</v>
      </c>
      <c r="D26" s="8">
        <v>3</v>
      </c>
      <c r="E26" s="8">
        <v>4</v>
      </c>
      <c r="F26" s="8">
        <v>2</v>
      </c>
      <c r="G26" s="8">
        <v>3</v>
      </c>
      <c r="H26" s="8">
        <v>2</v>
      </c>
      <c r="I26" s="8">
        <f t="shared" si="0"/>
        <v>14</v>
      </c>
      <c r="J26" s="8">
        <v>4</v>
      </c>
      <c r="K26" s="8">
        <v>4</v>
      </c>
      <c r="L26" s="8" t="s">
        <v>25</v>
      </c>
      <c r="M26" s="8">
        <f t="shared" si="1"/>
        <v>1</v>
      </c>
      <c r="N26" s="8">
        <v>3</v>
      </c>
      <c r="O26" s="8">
        <f t="shared" si="2"/>
        <v>11</v>
      </c>
      <c r="P26" s="8">
        <v>4</v>
      </c>
      <c r="Q26" s="8">
        <v>3</v>
      </c>
      <c r="R26" s="8">
        <v>4</v>
      </c>
      <c r="S26" s="8">
        <v>4</v>
      </c>
      <c r="T26" s="8">
        <f t="shared" si="3"/>
        <v>15</v>
      </c>
    </row>
    <row r="27" spans="1:31" ht="22.5" customHeight="1" x14ac:dyDescent="0.35">
      <c r="A27" s="9">
        <v>45811.532564768517</v>
      </c>
      <c r="B27" s="8" t="s">
        <v>6</v>
      </c>
      <c r="C27" s="8">
        <v>6</v>
      </c>
      <c r="D27" s="8">
        <v>4</v>
      </c>
      <c r="E27" s="8">
        <v>4</v>
      </c>
      <c r="F27" s="8">
        <v>4</v>
      </c>
      <c r="G27" s="8">
        <v>4</v>
      </c>
      <c r="H27" s="8">
        <v>4</v>
      </c>
      <c r="I27" s="8">
        <f t="shared" si="0"/>
        <v>20</v>
      </c>
      <c r="J27" s="8">
        <v>3</v>
      </c>
      <c r="K27" s="8">
        <v>5</v>
      </c>
      <c r="L27" s="8" t="s">
        <v>24</v>
      </c>
      <c r="M27" s="8">
        <f t="shared" si="1"/>
        <v>0</v>
      </c>
      <c r="N27" s="8">
        <v>1</v>
      </c>
      <c r="O27" s="8">
        <f t="shared" si="2"/>
        <v>9</v>
      </c>
      <c r="P27" s="8">
        <v>5</v>
      </c>
      <c r="Q27" s="8">
        <v>5</v>
      </c>
      <c r="R27" s="8">
        <v>5</v>
      </c>
      <c r="S27" s="8">
        <v>5</v>
      </c>
      <c r="T27" s="8">
        <f t="shared" si="3"/>
        <v>20</v>
      </c>
    </row>
    <row r="28" spans="1:31" ht="22.5" customHeight="1" x14ac:dyDescent="0.35">
      <c r="A28" s="9">
        <v>45811.603066261574</v>
      </c>
      <c r="B28" s="8" t="s">
        <v>7</v>
      </c>
      <c r="C28" s="8">
        <v>6</v>
      </c>
      <c r="D28" s="8">
        <v>5</v>
      </c>
      <c r="E28" s="8">
        <v>4</v>
      </c>
      <c r="F28" s="8">
        <v>5</v>
      </c>
      <c r="G28" s="8">
        <v>4</v>
      </c>
      <c r="H28" s="8">
        <v>5</v>
      </c>
      <c r="I28" s="8">
        <f t="shared" si="0"/>
        <v>23</v>
      </c>
      <c r="J28" s="8">
        <v>4</v>
      </c>
      <c r="K28" s="8">
        <v>5</v>
      </c>
      <c r="L28" s="8" t="s">
        <v>25</v>
      </c>
      <c r="M28" s="8">
        <f t="shared" si="1"/>
        <v>1</v>
      </c>
      <c r="N28" s="8">
        <v>3</v>
      </c>
      <c r="O28" s="8">
        <f t="shared" si="2"/>
        <v>12</v>
      </c>
      <c r="P28" s="8">
        <v>4</v>
      </c>
      <c r="Q28" s="8">
        <v>4</v>
      </c>
      <c r="R28" s="8">
        <v>5</v>
      </c>
      <c r="S28" s="8">
        <v>5</v>
      </c>
      <c r="T28" s="8">
        <f t="shared" si="3"/>
        <v>18</v>
      </c>
    </row>
    <row r="29" spans="1:31" ht="22.5" customHeight="1" x14ac:dyDescent="0.35">
      <c r="A29" s="9">
        <v>45811.60644393519</v>
      </c>
      <c r="B29" s="8" t="s">
        <v>7</v>
      </c>
      <c r="C29" s="8">
        <v>6</v>
      </c>
      <c r="D29" s="8">
        <v>5</v>
      </c>
      <c r="E29" s="8">
        <v>5</v>
      </c>
      <c r="F29" s="8">
        <v>5</v>
      </c>
      <c r="G29" s="8">
        <v>2</v>
      </c>
      <c r="H29" s="8">
        <v>2</v>
      </c>
      <c r="I29" s="8">
        <f t="shared" si="0"/>
        <v>19</v>
      </c>
      <c r="J29" s="8">
        <v>4</v>
      </c>
      <c r="K29" s="8">
        <v>4</v>
      </c>
      <c r="L29" s="8" t="s">
        <v>25</v>
      </c>
      <c r="M29" s="8">
        <f t="shared" si="1"/>
        <v>1</v>
      </c>
      <c r="N29" s="8">
        <v>4</v>
      </c>
      <c r="O29" s="8">
        <f t="shared" si="2"/>
        <v>12</v>
      </c>
      <c r="P29" s="8">
        <v>3</v>
      </c>
      <c r="Q29" s="8">
        <v>5</v>
      </c>
      <c r="R29" s="8">
        <v>5</v>
      </c>
      <c r="S29" s="8">
        <v>5</v>
      </c>
      <c r="T29" s="8">
        <f t="shared" si="3"/>
        <v>18</v>
      </c>
    </row>
    <row r="30" spans="1:31" ht="22.5" customHeight="1" x14ac:dyDescent="0.35">
      <c r="A30" s="9">
        <v>45811.625398067132</v>
      </c>
      <c r="B30" s="8" t="s">
        <v>6</v>
      </c>
      <c r="C30" s="8">
        <v>2</v>
      </c>
      <c r="D30" s="8">
        <v>5</v>
      </c>
      <c r="E30" s="8">
        <v>4</v>
      </c>
      <c r="F30" s="8">
        <v>4</v>
      </c>
      <c r="G30" s="8">
        <v>4</v>
      </c>
      <c r="H30" s="8">
        <v>4</v>
      </c>
      <c r="I30" s="8">
        <f t="shared" si="0"/>
        <v>21</v>
      </c>
      <c r="J30" s="8">
        <v>2</v>
      </c>
      <c r="K30" s="8">
        <v>2</v>
      </c>
      <c r="L30" s="8" t="s">
        <v>24</v>
      </c>
      <c r="M30" s="8">
        <f t="shared" si="1"/>
        <v>0</v>
      </c>
      <c r="N30" s="8">
        <v>1</v>
      </c>
      <c r="O30" s="8">
        <f t="shared" si="2"/>
        <v>5</v>
      </c>
      <c r="P30" s="8">
        <v>3</v>
      </c>
      <c r="Q30" s="8">
        <v>3</v>
      </c>
      <c r="R30" s="8">
        <v>5</v>
      </c>
      <c r="S30" s="8">
        <v>5</v>
      </c>
      <c r="T30" s="8">
        <f t="shared" si="3"/>
        <v>16</v>
      </c>
    </row>
    <row r="31" spans="1:31" ht="22.5" customHeight="1" x14ac:dyDescent="0.35">
      <c r="A31" s="9">
        <v>45811.638604583335</v>
      </c>
      <c r="B31" s="8" t="s">
        <v>7</v>
      </c>
      <c r="C31" s="8">
        <v>2</v>
      </c>
      <c r="D31" s="8">
        <v>5</v>
      </c>
      <c r="E31" s="8">
        <v>4</v>
      </c>
      <c r="F31" s="8">
        <v>4</v>
      </c>
      <c r="G31" s="8">
        <v>4</v>
      </c>
      <c r="H31" s="8">
        <v>5</v>
      </c>
      <c r="I31" s="8">
        <f t="shared" si="0"/>
        <v>22</v>
      </c>
      <c r="J31" s="8">
        <v>5</v>
      </c>
      <c r="K31" s="8">
        <v>5</v>
      </c>
      <c r="L31" s="8" t="s">
        <v>24</v>
      </c>
      <c r="M31" s="8">
        <f t="shared" si="1"/>
        <v>0</v>
      </c>
      <c r="N31" s="8">
        <v>1</v>
      </c>
      <c r="O31" s="8">
        <f t="shared" si="2"/>
        <v>11</v>
      </c>
      <c r="P31" s="8">
        <v>3</v>
      </c>
      <c r="Q31" s="8">
        <v>3</v>
      </c>
      <c r="R31" s="8">
        <v>3</v>
      </c>
      <c r="S31" s="8">
        <v>3</v>
      </c>
      <c r="T31" s="8">
        <f t="shared" si="3"/>
        <v>12</v>
      </c>
    </row>
    <row r="32" spans="1:31" ht="22.5" customHeight="1" x14ac:dyDescent="0.35">
      <c r="A32" s="9">
        <v>45811.641498113429</v>
      </c>
      <c r="B32" s="8" t="s">
        <v>6</v>
      </c>
      <c r="C32" s="8">
        <v>2</v>
      </c>
      <c r="D32" s="8">
        <v>5</v>
      </c>
      <c r="E32" s="8">
        <v>5</v>
      </c>
      <c r="F32" s="8">
        <v>5</v>
      </c>
      <c r="G32" s="8">
        <v>5</v>
      </c>
      <c r="H32" s="8">
        <v>3</v>
      </c>
      <c r="I32" s="8">
        <f t="shared" si="0"/>
        <v>23</v>
      </c>
      <c r="J32" s="8">
        <v>3</v>
      </c>
      <c r="K32" s="8">
        <v>5</v>
      </c>
      <c r="L32" s="8" t="s">
        <v>24</v>
      </c>
      <c r="M32" s="8">
        <f t="shared" si="1"/>
        <v>0</v>
      </c>
      <c r="N32" s="8">
        <v>1</v>
      </c>
      <c r="O32" s="8">
        <f t="shared" si="2"/>
        <v>9</v>
      </c>
      <c r="P32" s="8">
        <v>4</v>
      </c>
      <c r="Q32" s="8">
        <v>4</v>
      </c>
      <c r="R32" s="8">
        <v>5</v>
      </c>
      <c r="S32" s="8">
        <v>5</v>
      </c>
      <c r="T32" s="8">
        <f t="shared" si="3"/>
        <v>18</v>
      </c>
    </row>
    <row r="33" spans="1:20" ht="22.5" customHeight="1" x14ac:dyDescent="0.35">
      <c r="A33" s="9">
        <v>45811.693724050929</v>
      </c>
      <c r="B33" s="8" t="s">
        <v>6</v>
      </c>
      <c r="C33" s="8">
        <v>2</v>
      </c>
      <c r="D33" s="8">
        <v>5</v>
      </c>
      <c r="E33" s="8">
        <v>5</v>
      </c>
      <c r="F33" s="8">
        <v>5</v>
      </c>
      <c r="G33" s="8">
        <v>5</v>
      </c>
      <c r="H33" s="8">
        <v>5</v>
      </c>
      <c r="I33" s="8">
        <f t="shared" si="0"/>
        <v>25</v>
      </c>
      <c r="J33" s="8">
        <v>3</v>
      </c>
      <c r="K33" s="8">
        <v>5</v>
      </c>
      <c r="L33" s="8" t="s">
        <v>24</v>
      </c>
      <c r="M33" s="8">
        <f t="shared" si="1"/>
        <v>0</v>
      </c>
      <c r="N33" s="8">
        <v>1</v>
      </c>
      <c r="O33" s="8">
        <f t="shared" si="2"/>
        <v>9</v>
      </c>
      <c r="P33" s="8">
        <v>4</v>
      </c>
      <c r="Q33" s="8">
        <v>5</v>
      </c>
      <c r="R33" s="8">
        <v>5</v>
      </c>
      <c r="S33" s="8">
        <v>5</v>
      </c>
      <c r="T33" s="8">
        <f t="shared" si="3"/>
        <v>19</v>
      </c>
    </row>
    <row r="34" spans="1:20" ht="22.5" customHeight="1" x14ac:dyDescent="0.35">
      <c r="A34" s="9">
        <v>45811.700957106485</v>
      </c>
      <c r="B34" s="8" t="s">
        <v>6</v>
      </c>
      <c r="C34" s="8">
        <v>2</v>
      </c>
      <c r="D34" s="8">
        <v>4</v>
      </c>
      <c r="E34" s="8">
        <v>4</v>
      </c>
      <c r="F34" s="8">
        <v>5</v>
      </c>
      <c r="G34" s="8">
        <v>4</v>
      </c>
      <c r="H34" s="8">
        <v>4</v>
      </c>
      <c r="I34" s="8">
        <f t="shared" si="0"/>
        <v>21</v>
      </c>
      <c r="J34" s="8">
        <v>4</v>
      </c>
      <c r="K34" s="8">
        <v>5</v>
      </c>
      <c r="L34" s="8" t="s">
        <v>24</v>
      </c>
      <c r="M34" s="8">
        <f t="shared" si="1"/>
        <v>0</v>
      </c>
      <c r="N34" s="8">
        <v>1</v>
      </c>
      <c r="O34" s="8">
        <f t="shared" si="2"/>
        <v>10</v>
      </c>
      <c r="P34" s="8">
        <v>3</v>
      </c>
      <c r="Q34" s="8">
        <v>5</v>
      </c>
      <c r="R34" s="8">
        <v>5</v>
      </c>
      <c r="S34" s="8">
        <v>5</v>
      </c>
      <c r="T34" s="8">
        <f t="shared" si="3"/>
        <v>18</v>
      </c>
    </row>
    <row r="35" spans="1:20" ht="22.5" customHeight="1" x14ac:dyDescent="0.35">
      <c r="A35" s="9">
        <v>45811.70949734954</v>
      </c>
      <c r="B35" s="8" t="s">
        <v>7</v>
      </c>
      <c r="C35" s="8">
        <v>2</v>
      </c>
      <c r="D35" s="8">
        <v>3</v>
      </c>
      <c r="E35" s="8">
        <v>5</v>
      </c>
      <c r="F35" s="8">
        <v>5</v>
      </c>
      <c r="G35" s="8">
        <v>4</v>
      </c>
      <c r="H35" s="8">
        <v>4</v>
      </c>
      <c r="I35" s="8">
        <f t="shared" si="0"/>
        <v>21</v>
      </c>
      <c r="J35" s="8">
        <v>2</v>
      </c>
      <c r="K35" s="8">
        <v>5</v>
      </c>
      <c r="L35" s="8" t="s">
        <v>24</v>
      </c>
      <c r="M35" s="8">
        <f t="shared" si="1"/>
        <v>0</v>
      </c>
      <c r="N35" s="8">
        <v>1</v>
      </c>
      <c r="O35" s="8">
        <f t="shared" si="2"/>
        <v>8</v>
      </c>
      <c r="P35" s="8">
        <v>1</v>
      </c>
      <c r="Q35" s="8">
        <v>5</v>
      </c>
      <c r="R35" s="8">
        <v>5</v>
      </c>
      <c r="S35" s="8">
        <v>5</v>
      </c>
      <c r="T35" s="8">
        <f t="shared" si="3"/>
        <v>16</v>
      </c>
    </row>
    <row r="36" spans="1:20" ht="22.5" customHeight="1" x14ac:dyDescent="0.35">
      <c r="A36" s="9">
        <v>45811.723377766204</v>
      </c>
      <c r="B36" s="8" t="s">
        <v>6</v>
      </c>
      <c r="C36" s="8">
        <v>2</v>
      </c>
      <c r="D36" s="8">
        <v>5</v>
      </c>
      <c r="E36" s="8">
        <v>5</v>
      </c>
      <c r="F36" s="8">
        <v>5</v>
      </c>
      <c r="G36" s="8">
        <v>5</v>
      </c>
      <c r="H36" s="8">
        <v>5</v>
      </c>
      <c r="I36" s="8">
        <f t="shared" si="0"/>
        <v>25</v>
      </c>
      <c r="J36" s="8">
        <v>3</v>
      </c>
      <c r="K36" s="8">
        <v>4</v>
      </c>
      <c r="L36" s="8" t="s">
        <v>25</v>
      </c>
      <c r="M36" s="8">
        <f t="shared" si="1"/>
        <v>1</v>
      </c>
      <c r="N36" s="8">
        <v>5</v>
      </c>
      <c r="O36" s="8">
        <f t="shared" si="2"/>
        <v>12</v>
      </c>
      <c r="P36" s="8">
        <v>5</v>
      </c>
      <c r="Q36" s="8">
        <v>5</v>
      </c>
      <c r="R36" s="8">
        <v>5</v>
      </c>
      <c r="S36" s="8">
        <v>5</v>
      </c>
      <c r="T36" s="8">
        <f t="shared" si="3"/>
        <v>20</v>
      </c>
    </row>
    <row r="37" spans="1:20" ht="22.5" customHeight="1" x14ac:dyDescent="0.35">
      <c r="A37" s="9">
        <v>45811.79309042824</v>
      </c>
      <c r="B37" s="8" t="s">
        <v>7</v>
      </c>
      <c r="C37" s="8">
        <v>6</v>
      </c>
      <c r="D37" s="8">
        <v>4</v>
      </c>
      <c r="E37" s="8">
        <v>4</v>
      </c>
      <c r="F37" s="8">
        <v>3</v>
      </c>
      <c r="G37" s="8">
        <v>4</v>
      </c>
      <c r="H37" s="8">
        <v>4</v>
      </c>
      <c r="I37" s="8">
        <f t="shared" si="0"/>
        <v>19</v>
      </c>
      <c r="J37" s="8">
        <v>1</v>
      </c>
      <c r="K37" s="8">
        <v>1</v>
      </c>
      <c r="L37" s="8" t="s">
        <v>24</v>
      </c>
      <c r="M37" s="8">
        <f t="shared" si="1"/>
        <v>0</v>
      </c>
      <c r="N37" s="8">
        <v>1</v>
      </c>
      <c r="O37" s="8">
        <f t="shared" si="2"/>
        <v>3</v>
      </c>
      <c r="P37" s="8">
        <v>4</v>
      </c>
      <c r="Q37" s="8">
        <v>4</v>
      </c>
      <c r="R37" s="8">
        <v>5</v>
      </c>
      <c r="S37" s="8">
        <v>4</v>
      </c>
      <c r="T37" s="8">
        <f t="shared" si="3"/>
        <v>17</v>
      </c>
    </row>
    <row r="38" spans="1:20" ht="22.5" customHeight="1" x14ac:dyDescent="0.35">
      <c r="A38" s="9">
        <v>45811.805360844912</v>
      </c>
      <c r="B38" s="8" t="s">
        <v>6</v>
      </c>
      <c r="C38" s="8">
        <v>4</v>
      </c>
      <c r="D38" s="8">
        <v>2</v>
      </c>
      <c r="E38" s="8">
        <v>4</v>
      </c>
      <c r="F38" s="8">
        <v>4</v>
      </c>
      <c r="G38" s="8">
        <v>5</v>
      </c>
      <c r="H38" s="8">
        <v>5</v>
      </c>
      <c r="I38" s="8">
        <f t="shared" si="0"/>
        <v>20</v>
      </c>
      <c r="J38" s="8">
        <v>2</v>
      </c>
      <c r="K38" s="8">
        <v>5</v>
      </c>
      <c r="L38" s="8" t="s">
        <v>24</v>
      </c>
      <c r="M38" s="8">
        <f t="shared" si="1"/>
        <v>0</v>
      </c>
      <c r="N38" s="8">
        <v>1</v>
      </c>
      <c r="O38" s="8">
        <f t="shared" si="2"/>
        <v>8</v>
      </c>
      <c r="P38" s="8">
        <v>5</v>
      </c>
      <c r="Q38" s="8">
        <v>5</v>
      </c>
      <c r="R38" s="8">
        <v>5</v>
      </c>
      <c r="S38" s="8">
        <v>5</v>
      </c>
      <c r="T38" s="8">
        <f t="shared" si="3"/>
        <v>20</v>
      </c>
    </row>
    <row r="39" spans="1:20" ht="22.5" customHeight="1" x14ac:dyDescent="0.35">
      <c r="A39" s="9">
        <v>45811.838396562496</v>
      </c>
      <c r="B39" s="8" t="s">
        <v>6</v>
      </c>
      <c r="C39" s="8">
        <v>2</v>
      </c>
      <c r="D39" s="8">
        <v>5</v>
      </c>
      <c r="E39" s="8">
        <v>5</v>
      </c>
      <c r="F39" s="8">
        <v>5</v>
      </c>
      <c r="G39" s="8">
        <v>5</v>
      </c>
      <c r="H39" s="8">
        <v>5</v>
      </c>
      <c r="I39" s="8">
        <f t="shared" si="0"/>
        <v>25</v>
      </c>
      <c r="J39" s="8">
        <v>5</v>
      </c>
      <c r="K39" s="8">
        <v>5</v>
      </c>
      <c r="L39" s="8" t="s">
        <v>24</v>
      </c>
      <c r="M39" s="8">
        <f t="shared" si="1"/>
        <v>0</v>
      </c>
      <c r="N39" s="8">
        <v>1</v>
      </c>
      <c r="O39" s="8">
        <f t="shared" si="2"/>
        <v>11</v>
      </c>
      <c r="P39" s="8">
        <v>4</v>
      </c>
      <c r="Q39" s="8">
        <v>5</v>
      </c>
      <c r="R39" s="8">
        <v>5</v>
      </c>
      <c r="S39" s="8">
        <v>5</v>
      </c>
      <c r="T39" s="8">
        <f t="shared" si="3"/>
        <v>19</v>
      </c>
    </row>
    <row r="40" spans="1:20" ht="22.5" customHeight="1" x14ac:dyDescent="0.35">
      <c r="A40" s="9">
        <v>45811.894978703705</v>
      </c>
      <c r="B40" s="8" t="s">
        <v>6</v>
      </c>
      <c r="C40" s="8">
        <v>4</v>
      </c>
      <c r="D40" s="8">
        <v>5</v>
      </c>
      <c r="E40" s="8">
        <v>5</v>
      </c>
      <c r="F40" s="8">
        <v>5</v>
      </c>
      <c r="G40" s="8">
        <v>5</v>
      </c>
      <c r="H40" s="8">
        <v>5</v>
      </c>
      <c r="I40" s="8">
        <f t="shared" si="0"/>
        <v>25</v>
      </c>
      <c r="J40" s="8">
        <v>3</v>
      </c>
      <c r="K40" s="8">
        <v>3</v>
      </c>
      <c r="L40" s="8" t="s">
        <v>24</v>
      </c>
      <c r="M40" s="8">
        <f t="shared" si="1"/>
        <v>0</v>
      </c>
      <c r="N40" s="8">
        <v>1</v>
      </c>
      <c r="O40" s="8">
        <f t="shared" si="2"/>
        <v>7</v>
      </c>
      <c r="P40" s="8">
        <v>4</v>
      </c>
      <c r="Q40" s="8">
        <v>4</v>
      </c>
      <c r="R40" s="8">
        <v>5</v>
      </c>
      <c r="S40" s="8">
        <v>5</v>
      </c>
      <c r="T40" s="8">
        <f t="shared" si="3"/>
        <v>18</v>
      </c>
    </row>
    <row r="41" spans="1:20" ht="22.5" customHeight="1" x14ac:dyDescent="0.35">
      <c r="A41" s="9">
        <v>45811.899946562495</v>
      </c>
      <c r="B41" s="8" t="s">
        <v>6</v>
      </c>
      <c r="C41" s="8">
        <v>4</v>
      </c>
      <c r="D41" s="8">
        <v>5</v>
      </c>
      <c r="E41" s="8">
        <v>5</v>
      </c>
      <c r="F41" s="8">
        <v>5</v>
      </c>
      <c r="G41" s="8">
        <v>5</v>
      </c>
      <c r="H41" s="8">
        <v>5</v>
      </c>
      <c r="I41" s="8">
        <f t="shared" si="0"/>
        <v>25</v>
      </c>
      <c r="J41" s="8">
        <v>3</v>
      </c>
      <c r="K41" s="8">
        <v>5</v>
      </c>
      <c r="L41" s="8" t="s">
        <v>24</v>
      </c>
      <c r="M41" s="8">
        <f t="shared" si="1"/>
        <v>0</v>
      </c>
      <c r="N41" s="8">
        <v>1</v>
      </c>
      <c r="O41" s="8">
        <f t="shared" si="2"/>
        <v>9</v>
      </c>
      <c r="P41" s="8">
        <v>5</v>
      </c>
      <c r="Q41" s="8">
        <v>5</v>
      </c>
      <c r="R41" s="8">
        <v>5</v>
      </c>
      <c r="S41" s="8">
        <v>5</v>
      </c>
      <c r="T41" s="8">
        <f t="shared" si="3"/>
        <v>20</v>
      </c>
    </row>
    <row r="42" spans="1:20" ht="22.5" customHeight="1" x14ac:dyDescent="0.35">
      <c r="A42" s="9">
        <v>45812.287626562495</v>
      </c>
      <c r="B42" s="8" t="s">
        <v>6</v>
      </c>
      <c r="C42" s="8">
        <v>2</v>
      </c>
      <c r="D42" s="8">
        <v>5</v>
      </c>
      <c r="E42" s="8">
        <v>5</v>
      </c>
      <c r="F42" s="8">
        <v>5</v>
      </c>
      <c r="G42" s="8">
        <v>5</v>
      </c>
      <c r="H42" s="8">
        <v>4</v>
      </c>
      <c r="I42" s="8">
        <f t="shared" si="0"/>
        <v>24</v>
      </c>
      <c r="J42" s="8">
        <v>4</v>
      </c>
      <c r="K42" s="8">
        <v>5</v>
      </c>
      <c r="L42" s="8" t="s">
        <v>24</v>
      </c>
      <c r="M42" s="8">
        <f t="shared" si="1"/>
        <v>0</v>
      </c>
      <c r="N42" s="8">
        <v>1</v>
      </c>
      <c r="O42" s="8">
        <f t="shared" si="2"/>
        <v>10</v>
      </c>
      <c r="P42" s="8">
        <v>4</v>
      </c>
      <c r="Q42" s="8">
        <v>5</v>
      </c>
      <c r="R42" s="8">
        <v>5</v>
      </c>
      <c r="S42" s="8">
        <v>5</v>
      </c>
      <c r="T42" s="8">
        <f t="shared" si="3"/>
        <v>19</v>
      </c>
    </row>
    <row r="43" spans="1:20" ht="22.5" customHeight="1" x14ac:dyDescent="0.35">
      <c r="A43" s="9">
        <v>45812.414972650462</v>
      </c>
      <c r="B43" s="8" t="s">
        <v>7</v>
      </c>
      <c r="C43" s="8">
        <v>4</v>
      </c>
      <c r="D43" s="8">
        <v>5</v>
      </c>
      <c r="E43" s="8">
        <v>5</v>
      </c>
      <c r="F43" s="8">
        <v>5</v>
      </c>
      <c r="G43" s="8">
        <v>5</v>
      </c>
      <c r="H43" s="8">
        <v>5</v>
      </c>
      <c r="I43" s="8">
        <f t="shared" si="0"/>
        <v>25</v>
      </c>
      <c r="J43" s="8">
        <v>5</v>
      </c>
      <c r="K43" s="8">
        <v>5</v>
      </c>
      <c r="L43" s="8" t="s">
        <v>24</v>
      </c>
      <c r="M43" s="8">
        <f t="shared" si="1"/>
        <v>0</v>
      </c>
      <c r="N43" s="8">
        <v>1</v>
      </c>
      <c r="O43" s="8">
        <f t="shared" si="2"/>
        <v>11</v>
      </c>
      <c r="P43" s="8">
        <v>5</v>
      </c>
      <c r="Q43" s="8">
        <v>5</v>
      </c>
      <c r="R43" s="8">
        <v>5</v>
      </c>
      <c r="S43" s="8">
        <v>5</v>
      </c>
      <c r="T43" s="8">
        <f t="shared" si="3"/>
        <v>20</v>
      </c>
    </row>
    <row r="44" spans="1:20" ht="22.5" customHeight="1" x14ac:dyDescent="0.35">
      <c r="A44" s="9">
        <v>45812.510105219902</v>
      </c>
      <c r="B44" s="8" t="s">
        <v>6</v>
      </c>
      <c r="C44" s="8">
        <v>6</v>
      </c>
      <c r="D44" s="8">
        <v>4</v>
      </c>
      <c r="E44" s="8">
        <v>5</v>
      </c>
      <c r="F44" s="8">
        <v>5</v>
      </c>
      <c r="G44" s="8">
        <v>5</v>
      </c>
      <c r="H44" s="8">
        <v>5</v>
      </c>
      <c r="I44" s="8">
        <f t="shared" si="0"/>
        <v>24</v>
      </c>
      <c r="J44" s="8">
        <v>4</v>
      </c>
      <c r="K44" s="8">
        <v>5</v>
      </c>
      <c r="L44" s="8" t="s">
        <v>25</v>
      </c>
      <c r="M44" s="8">
        <f t="shared" si="1"/>
        <v>1</v>
      </c>
      <c r="N44" s="8">
        <v>5</v>
      </c>
      <c r="O44" s="8">
        <f t="shared" si="2"/>
        <v>14</v>
      </c>
      <c r="P44" s="8">
        <v>5</v>
      </c>
      <c r="Q44" s="8">
        <v>4</v>
      </c>
      <c r="R44" s="8">
        <v>5</v>
      </c>
      <c r="S44" s="8">
        <v>5</v>
      </c>
      <c r="T44" s="8">
        <f t="shared" si="3"/>
        <v>19</v>
      </c>
    </row>
    <row r="45" spans="1:20" ht="22.5" customHeight="1" x14ac:dyDescent="0.35">
      <c r="A45" s="9">
        <v>45812.547995555557</v>
      </c>
      <c r="B45" s="8" t="s">
        <v>7</v>
      </c>
      <c r="C45" s="8">
        <v>6</v>
      </c>
      <c r="D45" s="8">
        <v>5</v>
      </c>
      <c r="E45" s="8">
        <v>4</v>
      </c>
      <c r="F45" s="8">
        <v>4</v>
      </c>
      <c r="G45" s="8">
        <v>4</v>
      </c>
      <c r="H45" s="8">
        <v>4</v>
      </c>
      <c r="I45" s="8">
        <f t="shared" si="0"/>
        <v>21</v>
      </c>
      <c r="J45" s="8">
        <v>5</v>
      </c>
      <c r="K45" s="8">
        <v>5</v>
      </c>
      <c r="L45" s="8" t="s">
        <v>24</v>
      </c>
      <c r="M45" s="8">
        <f t="shared" si="1"/>
        <v>0</v>
      </c>
      <c r="N45" s="8">
        <v>1</v>
      </c>
      <c r="O45" s="8">
        <f t="shared" si="2"/>
        <v>11</v>
      </c>
      <c r="P45" s="8">
        <v>5</v>
      </c>
      <c r="Q45" s="8">
        <v>5</v>
      </c>
      <c r="R45" s="8">
        <v>4</v>
      </c>
      <c r="S45" s="8">
        <v>4</v>
      </c>
      <c r="T45" s="8">
        <f t="shared" si="3"/>
        <v>18</v>
      </c>
    </row>
    <row r="46" spans="1:20" ht="22.5" customHeight="1" x14ac:dyDescent="0.35">
      <c r="A46" s="9">
        <v>45812.549230104167</v>
      </c>
      <c r="B46" s="8" t="s">
        <v>6</v>
      </c>
      <c r="C46" s="8">
        <v>4</v>
      </c>
      <c r="D46" s="8">
        <v>5</v>
      </c>
      <c r="E46" s="8">
        <v>5</v>
      </c>
      <c r="F46" s="8">
        <v>5</v>
      </c>
      <c r="G46" s="8">
        <v>5</v>
      </c>
      <c r="H46" s="8">
        <v>5</v>
      </c>
      <c r="I46" s="8">
        <f t="shared" si="0"/>
        <v>25</v>
      </c>
      <c r="J46" s="8">
        <v>4</v>
      </c>
      <c r="K46" s="8">
        <v>5</v>
      </c>
      <c r="L46" s="8" t="s">
        <v>24</v>
      </c>
      <c r="M46" s="8">
        <f t="shared" si="1"/>
        <v>0</v>
      </c>
      <c r="N46" s="8">
        <v>1</v>
      </c>
      <c r="O46" s="8">
        <f t="shared" si="2"/>
        <v>10</v>
      </c>
      <c r="P46" s="8">
        <v>4</v>
      </c>
      <c r="Q46" s="8">
        <v>5</v>
      </c>
      <c r="R46" s="8">
        <v>5</v>
      </c>
      <c r="S46" s="8">
        <v>5</v>
      </c>
      <c r="T46" s="8">
        <f t="shared" si="3"/>
        <v>19</v>
      </c>
    </row>
    <row r="48" spans="1:20" ht="12.75" x14ac:dyDescent="0.35">
      <c r="B48" s="4">
        <f>COUNTIF(B2:B46,"Perempuan")</f>
        <v>27</v>
      </c>
      <c r="C48" s="4">
        <f>27/SUM(B48:B49)</f>
        <v>0.6</v>
      </c>
    </row>
    <row r="49" spans="2:2" ht="12.75" x14ac:dyDescent="0.35">
      <c r="B49" s="4">
        <f>COUNTIF(B2:B47,"Laki-laki")</f>
        <v>18</v>
      </c>
    </row>
  </sheetData>
  <mergeCells count="5">
    <mergeCell ref="AB6:AD6"/>
    <mergeCell ref="V7:W7"/>
    <mergeCell ref="V11:W11"/>
    <mergeCell ref="AB13:AD13"/>
    <mergeCell ref="V15:W1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7"/>
  <sheetViews>
    <sheetView workbookViewId="0">
      <selection activeCell="B21" sqref="B21"/>
    </sheetView>
  </sheetViews>
  <sheetFormatPr defaultColWidth="12.59765625" defaultRowHeight="15.75" customHeight="1" x14ac:dyDescent="0.35"/>
  <cols>
    <col min="1" max="1" width="6" customWidth="1"/>
    <col min="2" max="3" width="18.86328125" customWidth="1"/>
    <col min="5" max="5" width="16.59765625" customWidth="1"/>
    <col min="6" max="6" width="20.1328125" customWidth="1"/>
  </cols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I1" s="11"/>
      <c r="J1" s="11"/>
      <c r="K1" s="11"/>
    </row>
    <row r="2" spans="1:11" x14ac:dyDescent="0.35">
      <c r="A2" s="4">
        <v>1</v>
      </c>
      <c r="B2" s="5" t="s">
        <v>6</v>
      </c>
      <c r="C2" s="5">
        <v>2</v>
      </c>
      <c r="D2" s="5">
        <v>25</v>
      </c>
      <c r="E2" s="5">
        <v>10</v>
      </c>
      <c r="F2" s="5">
        <v>20</v>
      </c>
    </row>
    <row r="3" spans="1:11" x14ac:dyDescent="0.35">
      <c r="A3" s="4">
        <v>2</v>
      </c>
      <c r="B3" s="5" t="s">
        <v>6</v>
      </c>
      <c r="C3" s="5">
        <v>4</v>
      </c>
      <c r="D3" s="5">
        <v>18</v>
      </c>
      <c r="E3" s="5">
        <v>10</v>
      </c>
      <c r="F3" s="5">
        <v>18</v>
      </c>
    </row>
    <row r="4" spans="1:11" x14ac:dyDescent="0.35">
      <c r="A4" s="4">
        <v>3</v>
      </c>
      <c r="B4" s="5" t="s">
        <v>6</v>
      </c>
      <c r="C4" s="5">
        <v>2</v>
      </c>
      <c r="D4" s="5">
        <v>23</v>
      </c>
      <c r="E4" s="5">
        <v>9</v>
      </c>
      <c r="F4" s="5">
        <v>17</v>
      </c>
    </row>
    <row r="5" spans="1:11" x14ac:dyDescent="0.35">
      <c r="A5" s="4">
        <v>4</v>
      </c>
      <c r="B5" s="5" t="s">
        <v>7</v>
      </c>
      <c r="C5" s="5">
        <v>2</v>
      </c>
      <c r="D5" s="5">
        <v>25</v>
      </c>
      <c r="E5" s="5">
        <v>10</v>
      </c>
      <c r="F5" s="5">
        <v>20</v>
      </c>
    </row>
    <row r="6" spans="1:11" x14ac:dyDescent="0.35">
      <c r="A6" s="4">
        <v>5</v>
      </c>
      <c r="B6" s="5" t="s">
        <v>6</v>
      </c>
      <c r="C6" s="5">
        <v>2</v>
      </c>
      <c r="D6" s="5">
        <v>20</v>
      </c>
      <c r="E6" s="5">
        <v>9</v>
      </c>
      <c r="F6" s="5">
        <v>15</v>
      </c>
    </row>
    <row r="7" spans="1:11" x14ac:dyDescent="0.35">
      <c r="A7" s="4">
        <v>6</v>
      </c>
      <c r="B7" s="5" t="s">
        <v>7</v>
      </c>
      <c r="C7" s="5">
        <v>2</v>
      </c>
      <c r="D7" s="5">
        <v>24</v>
      </c>
      <c r="E7" s="5">
        <v>6</v>
      </c>
      <c r="F7" s="5">
        <v>17</v>
      </c>
    </row>
    <row r="8" spans="1:11" x14ac:dyDescent="0.35">
      <c r="A8" s="4">
        <v>7</v>
      </c>
      <c r="B8" s="5" t="s">
        <v>7</v>
      </c>
      <c r="C8" s="5">
        <v>2</v>
      </c>
      <c r="D8" s="5">
        <v>20</v>
      </c>
      <c r="E8" s="5">
        <v>6</v>
      </c>
      <c r="F8" s="5">
        <v>17</v>
      </c>
    </row>
    <row r="9" spans="1:11" x14ac:dyDescent="0.35">
      <c r="A9" s="4">
        <v>8</v>
      </c>
      <c r="B9" s="5" t="s">
        <v>6</v>
      </c>
      <c r="C9" s="5">
        <v>4</v>
      </c>
      <c r="D9" s="5">
        <v>23</v>
      </c>
      <c r="E9" s="5">
        <v>12</v>
      </c>
      <c r="F9" s="5">
        <v>19</v>
      </c>
    </row>
    <row r="10" spans="1:11" x14ac:dyDescent="0.35">
      <c r="A10" s="4">
        <v>9</v>
      </c>
      <c r="B10" s="5" t="s">
        <v>7</v>
      </c>
      <c r="C10" s="5">
        <v>2</v>
      </c>
      <c r="D10" s="5">
        <v>21</v>
      </c>
      <c r="E10" s="5">
        <v>7</v>
      </c>
      <c r="F10" s="5">
        <v>18</v>
      </c>
    </row>
    <row r="11" spans="1:11" x14ac:dyDescent="0.35">
      <c r="A11" s="4">
        <v>10</v>
      </c>
      <c r="B11" s="5" t="s">
        <v>7</v>
      </c>
      <c r="C11" s="5">
        <v>2</v>
      </c>
      <c r="D11" s="5">
        <v>23</v>
      </c>
      <c r="E11" s="5">
        <v>8</v>
      </c>
      <c r="F11" s="5">
        <v>16</v>
      </c>
    </row>
    <row r="12" spans="1:11" x14ac:dyDescent="0.35">
      <c r="A12" s="4">
        <v>11</v>
      </c>
      <c r="B12" s="5" t="s">
        <v>6</v>
      </c>
      <c r="C12" s="5">
        <v>2</v>
      </c>
      <c r="D12" s="5">
        <v>25</v>
      </c>
      <c r="E12" s="5">
        <v>12</v>
      </c>
      <c r="F12" s="5">
        <v>20</v>
      </c>
    </row>
    <row r="13" spans="1:11" x14ac:dyDescent="0.35">
      <c r="A13" s="4">
        <v>12</v>
      </c>
      <c r="B13" s="5" t="s">
        <v>6</v>
      </c>
      <c r="C13" s="5">
        <v>6</v>
      </c>
      <c r="D13" s="5">
        <v>24</v>
      </c>
      <c r="E13" s="5">
        <v>10</v>
      </c>
      <c r="F13" s="5">
        <v>19</v>
      </c>
    </row>
    <row r="14" spans="1:11" x14ac:dyDescent="0.35">
      <c r="A14" s="4">
        <v>13</v>
      </c>
      <c r="B14" s="5" t="s">
        <v>6</v>
      </c>
      <c r="C14" s="5">
        <v>4</v>
      </c>
      <c r="D14" s="5">
        <v>21</v>
      </c>
      <c r="E14" s="5">
        <v>9</v>
      </c>
      <c r="F14" s="5">
        <v>18</v>
      </c>
    </row>
    <row r="15" spans="1:11" x14ac:dyDescent="0.35">
      <c r="A15" s="4">
        <v>14</v>
      </c>
      <c r="B15" s="5" t="s">
        <v>7</v>
      </c>
      <c r="C15" s="5">
        <v>4</v>
      </c>
      <c r="D15" s="5">
        <v>19</v>
      </c>
      <c r="E15" s="5">
        <v>9</v>
      </c>
      <c r="F15" s="5">
        <v>20</v>
      </c>
    </row>
    <row r="16" spans="1:11" x14ac:dyDescent="0.35">
      <c r="A16" s="4">
        <v>15</v>
      </c>
      <c r="B16" s="5" t="s">
        <v>7</v>
      </c>
      <c r="C16" s="5">
        <v>4</v>
      </c>
      <c r="D16" s="5">
        <v>22</v>
      </c>
      <c r="E16" s="5">
        <v>11</v>
      </c>
      <c r="F16" s="5">
        <v>18</v>
      </c>
    </row>
    <row r="17" spans="1:11" x14ac:dyDescent="0.35">
      <c r="A17" s="4">
        <v>16</v>
      </c>
      <c r="B17" s="5" t="s">
        <v>6</v>
      </c>
      <c r="C17" s="5">
        <v>2</v>
      </c>
      <c r="D17" s="5">
        <v>25</v>
      </c>
      <c r="E17" s="5">
        <v>12</v>
      </c>
      <c r="F17" s="5">
        <v>20</v>
      </c>
    </row>
    <row r="18" spans="1:11" x14ac:dyDescent="0.35">
      <c r="A18" s="4">
        <v>17</v>
      </c>
      <c r="B18" s="5" t="s">
        <v>6</v>
      </c>
      <c r="C18" s="5">
        <v>2</v>
      </c>
      <c r="D18" s="5">
        <v>24</v>
      </c>
      <c r="E18" s="5">
        <v>11</v>
      </c>
      <c r="F18" s="5">
        <v>20</v>
      </c>
    </row>
    <row r="19" spans="1:11" x14ac:dyDescent="0.35">
      <c r="A19" s="4">
        <v>18</v>
      </c>
      <c r="B19" s="5" t="s">
        <v>6</v>
      </c>
      <c r="C19" s="5">
        <v>2</v>
      </c>
      <c r="D19" s="5">
        <v>24</v>
      </c>
      <c r="E19" s="5">
        <v>13</v>
      </c>
      <c r="F19" s="5">
        <v>20</v>
      </c>
    </row>
    <row r="20" spans="1:11" x14ac:dyDescent="0.35">
      <c r="A20" s="4">
        <v>19</v>
      </c>
      <c r="B20" s="5" t="s">
        <v>7</v>
      </c>
      <c r="C20" s="5">
        <v>2</v>
      </c>
      <c r="D20" s="5">
        <v>21</v>
      </c>
      <c r="E20" s="5">
        <v>9</v>
      </c>
      <c r="F20" s="5">
        <v>16</v>
      </c>
    </row>
    <row r="21" spans="1:11" x14ac:dyDescent="0.35">
      <c r="A21" s="4">
        <v>20</v>
      </c>
      <c r="B21" s="5" t="s">
        <v>6</v>
      </c>
      <c r="C21" s="5">
        <v>4</v>
      </c>
      <c r="D21" s="5">
        <v>24</v>
      </c>
      <c r="E21" s="5">
        <v>11</v>
      </c>
      <c r="F21" s="5">
        <v>13</v>
      </c>
    </row>
    <row r="22" spans="1:11" x14ac:dyDescent="0.35">
      <c r="A22" s="4">
        <v>21</v>
      </c>
      <c r="B22" s="5" t="s">
        <v>6</v>
      </c>
      <c r="C22" s="5">
        <v>2</v>
      </c>
      <c r="D22" s="5">
        <v>25</v>
      </c>
      <c r="E22" s="5">
        <v>8</v>
      </c>
      <c r="F22" s="5">
        <v>16</v>
      </c>
    </row>
    <row r="23" spans="1:11" x14ac:dyDescent="0.35">
      <c r="A23" s="4">
        <v>22</v>
      </c>
      <c r="B23" s="5" t="s">
        <v>7</v>
      </c>
      <c r="C23" s="5">
        <v>6</v>
      </c>
      <c r="D23" s="5">
        <v>20</v>
      </c>
      <c r="E23" s="5">
        <v>9</v>
      </c>
      <c r="F23" s="5">
        <v>16</v>
      </c>
    </row>
    <row r="24" spans="1:11" x14ac:dyDescent="0.35">
      <c r="A24" s="4">
        <v>23</v>
      </c>
      <c r="B24" s="5" t="s">
        <v>6</v>
      </c>
      <c r="C24" s="5">
        <v>4</v>
      </c>
      <c r="D24" s="5">
        <v>20</v>
      </c>
      <c r="E24" s="5">
        <v>10</v>
      </c>
      <c r="F24" s="5">
        <v>18</v>
      </c>
    </row>
    <row r="25" spans="1:11" x14ac:dyDescent="0.35">
      <c r="A25" s="4">
        <v>24</v>
      </c>
      <c r="B25" s="5" t="s">
        <v>7</v>
      </c>
      <c r="C25" s="5">
        <v>4</v>
      </c>
      <c r="D25" s="5">
        <v>25</v>
      </c>
      <c r="E25" s="5">
        <v>12</v>
      </c>
      <c r="F25" s="5">
        <v>18</v>
      </c>
    </row>
    <row r="26" spans="1:11" x14ac:dyDescent="0.35">
      <c r="A26" s="4">
        <v>25</v>
      </c>
      <c r="B26" s="5" t="s">
        <v>7</v>
      </c>
      <c r="C26" s="5">
        <v>4</v>
      </c>
      <c r="D26" s="5">
        <v>14</v>
      </c>
      <c r="E26" s="5">
        <v>11</v>
      </c>
      <c r="F26" s="5">
        <v>15</v>
      </c>
    </row>
    <row r="27" spans="1:11" x14ac:dyDescent="0.35">
      <c r="A27" s="4">
        <v>26</v>
      </c>
      <c r="B27" s="5" t="s">
        <v>6</v>
      </c>
      <c r="C27" s="5">
        <v>6</v>
      </c>
      <c r="D27" s="5">
        <v>20</v>
      </c>
      <c r="E27" s="5">
        <v>9</v>
      </c>
      <c r="F27" s="5">
        <v>20</v>
      </c>
    </row>
    <row r="28" spans="1:11" x14ac:dyDescent="0.35">
      <c r="A28" s="4">
        <v>27</v>
      </c>
      <c r="B28" s="5" t="s">
        <v>7</v>
      </c>
      <c r="C28" s="5">
        <v>6</v>
      </c>
      <c r="D28" s="5">
        <v>23</v>
      </c>
      <c r="E28" s="5">
        <v>12</v>
      </c>
      <c r="F28" s="5">
        <v>18</v>
      </c>
      <c r="J28" s="4">
        <f t="shared" ref="J28:J38" si="0">IF(C27=4,D27,)</f>
        <v>0</v>
      </c>
    </row>
    <row r="29" spans="1:11" x14ac:dyDescent="0.35">
      <c r="A29" s="4">
        <v>28</v>
      </c>
      <c r="B29" s="5" t="s">
        <v>7</v>
      </c>
      <c r="C29" s="5">
        <v>6</v>
      </c>
      <c r="D29" s="5">
        <v>19</v>
      </c>
      <c r="E29" s="5">
        <v>12</v>
      </c>
      <c r="F29" s="5">
        <v>18</v>
      </c>
      <c r="J29" s="4">
        <f t="shared" si="0"/>
        <v>0</v>
      </c>
    </row>
    <row r="30" spans="1:11" x14ac:dyDescent="0.35">
      <c r="A30" s="4">
        <v>29</v>
      </c>
      <c r="B30" s="5" t="s">
        <v>6</v>
      </c>
      <c r="C30" s="5">
        <v>2</v>
      </c>
      <c r="D30" s="5">
        <v>21</v>
      </c>
      <c r="E30" s="5">
        <v>5</v>
      </c>
      <c r="F30" s="5">
        <v>16</v>
      </c>
      <c r="I30" s="4">
        <f>IF(C29=2,D29,)</f>
        <v>0</v>
      </c>
      <c r="J30" s="4">
        <f t="shared" si="0"/>
        <v>0</v>
      </c>
    </row>
    <row r="31" spans="1:11" x14ac:dyDescent="0.35">
      <c r="A31" s="4">
        <v>30</v>
      </c>
      <c r="B31" s="5" t="s">
        <v>7</v>
      </c>
      <c r="C31" s="5">
        <v>2</v>
      </c>
      <c r="D31" s="5">
        <v>22</v>
      </c>
      <c r="E31" s="5">
        <v>11</v>
      </c>
      <c r="F31" s="5">
        <v>12</v>
      </c>
      <c r="J31" s="4">
        <f t="shared" si="0"/>
        <v>0</v>
      </c>
      <c r="K31" s="4">
        <f t="shared" ref="K31:K37" si="1">IF(C30=6,D30,)</f>
        <v>0</v>
      </c>
    </row>
    <row r="32" spans="1:11" x14ac:dyDescent="0.35">
      <c r="A32" s="4">
        <v>31</v>
      </c>
      <c r="B32" s="5" t="s">
        <v>6</v>
      </c>
      <c r="C32" s="5">
        <v>2</v>
      </c>
      <c r="D32" s="5">
        <v>23</v>
      </c>
      <c r="E32" s="5">
        <v>9</v>
      </c>
      <c r="F32" s="5">
        <v>18</v>
      </c>
      <c r="J32" s="4">
        <f t="shared" si="0"/>
        <v>0</v>
      </c>
      <c r="K32" s="4">
        <f t="shared" si="1"/>
        <v>0</v>
      </c>
    </row>
    <row r="33" spans="1:11" x14ac:dyDescent="0.35">
      <c r="A33" s="4">
        <v>32</v>
      </c>
      <c r="B33" s="5" t="s">
        <v>6</v>
      </c>
      <c r="C33" s="5">
        <v>2</v>
      </c>
      <c r="D33" s="5">
        <v>25</v>
      </c>
      <c r="E33" s="5">
        <v>9</v>
      </c>
      <c r="F33" s="5">
        <v>19</v>
      </c>
      <c r="J33" s="4">
        <f t="shared" si="0"/>
        <v>0</v>
      </c>
      <c r="K33" s="4">
        <f t="shared" si="1"/>
        <v>0</v>
      </c>
    </row>
    <row r="34" spans="1:11" x14ac:dyDescent="0.35">
      <c r="A34" s="4">
        <v>33</v>
      </c>
      <c r="B34" s="5" t="s">
        <v>6</v>
      </c>
      <c r="C34" s="5">
        <v>2</v>
      </c>
      <c r="D34" s="5">
        <v>21</v>
      </c>
      <c r="E34" s="5">
        <v>10</v>
      </c>
      <c r="F34" s="5">
        <v>18</v>
      </c>
      <c r="J34" s="4">
        <f t="shared" si="0"/>
        <v>0</v>
      </c>
      <c r="K34" s="4">
        <f t="shared" si="1"/>
        <v>0</v>
      </c>
    </row>
    <row r="35" spans="1:11" x14ac:dyDescent="0.35">
      <c r="A35" s="4">
        <v>34</v>
      </c>
      <c r="B35" s="5" t="s">
        <v>7</v>
      </c>
      <c r="C35" s="5">
        <v>2</v>
      </c>
      <c r="D35" s="5">
        <v>21</v>
      </c>
      <c r="E35" s="5">
        <v>8</v>
      </c>
      <c r="F35" s="5">
        <v>16</v>
      </c>
      <c r="J35" s="4">
        <f t="shared" si="0"/>
        <v>0</v>
      </c>
      <c r="K35" s="4">
        <f t="shared" si="1"/>
        <v>0</v>
      </c>
    </row>
    <row r="36" spans="1:11" x14ac:dyDescent="0.35">
      <c r="A36" s="4">
        <v>35</v>
      </c>
      <c r="B36" s="5" t="s">
        <v>6</v>
      </c>
      <c r="C36" s="5">
        <v>2</v>
      </c>
      <c r="D36" s="5">
        <v>25</v>
      </c>
      <c r="E36" s="5">
        <v>12</v>
      </c>
      <c r="F36" s="5">
        <v>20</v>
      </c>
      <c r="J36" s="4">
        <f t="shared" si="0"/>
        <v>0</v>
      </c>
      <c r="K36" s="4">
        <f t="shared" si="1"/>
        <v>0</v>
      </c>
    </row>
    <row r="37" spans="1:11" x14ac:dyDescent="0.35">
      <c r="A37" s="4">
        <v>36</v>
      </c>
      <c r="B37" s="5" t="s">
        <v>7</v>
      </c>
      <c r="C37" s="5">
        <v>6</v>
      </c>
      <c r="D37" s="5">
        <v>19</v>
      </c>
      <c r="E37" s="5">
        <v>3</v>
      </c>
      <c r="F37" s="5">
        <v>17</v>
      </c>
      <c r="J37" s="4">
        <f t="shared" si="0"/>
        <v>0</v>
      </c>
      <c r="K37" s="4">
        <f t="shared" si="1"/>
        <v>0</v>
      </c>
    </row>
    <row r="38" spans="1:11" x14ac:dyDescent="0.35">
      <c r="A38" s="4">
        <v>37</v>
      </c>
      <c r="B38" s="5" t="s">
        <v>6</v>
      </c>
      <c r="C38" s="5">
        <v>4</v>
      </c>
      <c r="D38" s="5">
        <v>20</v>
      </c>
      <c r="E38" s="5">
        <v>8</v>
      </c>
      <c r="F38" s="5">
        <v>20</v>
      </c>
      <c r="J38" s="4">
        <f t="shared" si="0"/>
        <v>0</v>
      </c>
    </row>
    <row r="39" spans="1:11" x14ac:dyDescent="0.35">
      <c r="A39" s="4">
        <v>38</v>
      </c>
      <c r="B39" s="5" t="s">
        <v>6</v>
      </c>
      <c r="C39" s="5">
        <v>2</v>
      </c>
      <c r="D39" s="5">
        <v>25</v>
      </c>
      <c r="E39" s="5">
        <v>11</v>
      </c>
      <c r="F39" s="5">
        <v>19</v>
      </c>
    </row>
    <row r="40" spans="1:11" x14ac:dyDescent="0.35">
      <c r="A40" s="4">
        <v>39</v>
      </c>
      <c r="B40" s="5" t="s">
        <v>6</v>
      </c>
      <c r="C40" s="5">
        <v>4</v>
      </c>
      <c r="D40" s="5">
        <v>25</v>
      </c>
      <c r="E40" s="5">
        <v>7</v>
      </c>
      <c r="F40" s="5">
        <v>18</v>
      </c>
    </row>
    <row r="41" spans="1:11" x14ac:dyDescent="0.35">
      <c r="A41" s="4">
        <v>40</v>
      </c>
      <c r="B41" s="5" t="s">
        <v>6</v>
      </c>
      <c r="C41" s="5">
        <v>4</v>
      </c>
      <c r="D41" s="5">
        <v>25</v>
      </c>
      <c r="E41" s="5">
        <v>9</v>
      </c>
      <c r="F41" s="5">
        <v>20</v>
      </c>
    </row>
    <row r="42" spans="1:11" x14ac:dyDescent="0.35">
      <c r="A42" s="4">
        <v>41</v>
      </c>
      <c r="B42" s="5" t="s">
        <v>6</v>
      </c>
      <c r="C42" s="5">
        <v>2</v>
      </c>
      <c r="D42" s="5">
        <v>24</v>
      </c>
      <c r="E42" s="5">
        <v>10</v>
      </c>
      <c r="F42" s="5">
        <v>19</v>
      </c>
    </row>
    <row r="43" spans="1:11" x14ac:dyDescent="0.35">
      <c r="A43" s="4">
        <v>42</v>
      </c>
      <c r="B43" s="5" t="s">
        <v>7</v>
      </c>
      <c r="C43" s="5">
        <v>4</v>
      </c>
      <c r="D43" s="5">
        <v>25</v>
      </c>
      <c r="E43" s="5">
        <v>11</v>
      </c>
      <c r="F43" s="5">
        <v>20</v>
      </c>
    </row>
    <row r="44" spans="1:11" x14ac:dyDescent="0.35">
      <c r="A44" s="4">
        <v>43</v>
      </c>
      <c r="B44" s="5" t="s">
        <v>6</v>
      </c>
      <c r="C44" s="5">
        <v>6</v>
      </c>
      <c r="D44" s="5">
        <v>24</v>
      </c>
      <c r="E44" s="5">
        <v>14</v>
      </c>
      <c r="F44" s="5">
        <v>19</v>
      </c>
      <c r="I44" s="4">
        <f t="shared" ref="I44:I47" si="2">IF(C43=2,D43,)</f>
        <v>0</v>
      </c>
    </row>
    <row r="45" spans="1:11" x14ac:dyDescent="0.35">
      <c r="A45" s="4">
        <v>44</v>
      </c>
      <c r="B45" s="5" t="s">
        <v>7</v>
      </c>
      <c r="C45" s="5">
        <v>6</v>
      </c>
      <c r="D45" s="5">
        <v>21</v>
      </c>
      <c r="E45" s="5">
        <v>11</v>
      </c>
      <c r="F45" s="5">
        <v>18</v>
      </c>
      <c r="I45" s="4">
        <f t="shared" si="2"/>
        <v>0</v>
      </c>
    </row>
    <row r="46" spans="1:11" x14ac:dyDescent="0.35">
      <c r="A46" s="4">
        <v>45</v>
      </c>
      <c r="B46" s="5" t="s">
        <v>6</v>
      </c>
      <c r="C46" s="5">
        <v>4</v>
      </c>
      <c r="D46" s="5">
        <v>25</v>
      </c>
      <c r="E46" s="5">
        <v>10</v>
      </c>
      <c r="F46" s="5">
        <v>19</v>
      </c>
      <c r="I46" s="4">
        <f t="shared" si="2"/>
        <v>0</v>
      </c>
    </row>
    <row r="47" spans="1:11" x14ac:dyDescent="0.35">
      <c r="I47" s="4">
        <f t="shared" si="2"/>
        <v>0</v>
      </c>
      <c r="K47" s="4">
        <f>IF(C46=6,D46,)</f>
        <v>0</v>
      </c>
    </row>
  </sheetData>
  <mergeCells count="1"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 spin 3</cp:lastModifiedBy>
  <dcterms:created xsi:type="dcterms:W3CDTF">2026-10-28T07:12:32Z</dcterms:created>
  <dcterms:modified xsi:type="dcterms:W3CDTF">2026-10-28T07:12:32Z</dcterms:modified>
</cp:coreProperties>
</file>